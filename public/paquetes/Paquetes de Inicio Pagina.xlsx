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AS DELICIAS DEL CAMPO\"/>
    </mc:Choice>
  </mc:AlternateContent>
  <xr:revisionPtr revIDLastSave="0" documentId="8_{469E5516-0CC6-4525-8049-2059F782BAF5}" xr6:coauthVersionLast="47" xr6:coauthVersionMax="47" xr10:uidLastSave="{00000000-0000-0000-0000-000000000000}"/>
  <bookViews>
    <workbookView xWindow="-120" yWindow="-120" windowWidth="21840" windowHeight="13140" xr2:uid="{00AFA8C6-567E-42A4-B326-5B7C932907C1}"/>
  </bookViews>
  <sheets>
    <sheet name="paquetes" sheetId="1" r:id="rId1"/>
    <sheet name="emprended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1" i="2" l="1"/>
  <c r="J110" i="2"/>
  <c r="J109" i="2"/>
  <c r="J108" i="2"/>
  <c r="J107" i="2"/>
  <c r="J106" i="2"/>
  <c r="J105" i="2"/>
  <c r="J104" i="2"/>
  <c r="K103" i="2"/>
  <c r="J103" i="2"/>
  <c r="J102" i="2"/>
  <c r="J112" i="2" s="1"/>
  <c r="K106" i="2" s="1"/>
  <c r="K109" i="2" s="1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98" i="2" s="1"/>
  <c r="K91" i="2" s="1"/>
  <c r="K94" i="2" s="1"/>
  <c r="J80" i="2"/>
  <c r="J79" i="2"/>
  <c r="J78" i="2"/>
  <c r="J77" i="2"/>
  <c r="J76" i="2"/>
  <c r="J75" i="2"/>
  <c r="J74" i="2"/>
  <c r="J73" i="2"/>
  <c r="J72" i="2"/>
  <c r="J71" i="2"/>
  <c r="J81" i="2" s="1"/>
  <c r="K75" i="2" s="1"/>
  <c r="K79" i="2" s="1"/>
  <c r="J70" i="2"/>
  <c r="J69" i="2"/>
  <c r="J64" i="2"/>
  <c r="K62" i="2"/>
  <c r="J50" i="2"/>
  <c r="K47" i="2"/>
  <c r="K43" i="2"/>
  <c r="J32" i="2"/>
  <c r="K31" i="2"/>
  <c r="J18" i="2"/>
  <c r="K10" i="2"/>
  <c r="K13" i="2" s="1"/>
  <c r="H90" i="1" l="1"/>
  <c r="F90" i="1"/>
  <c r="F72" i="1"/>
  <c r="H72" i="1" s="1"/>
  <c r="F58" i="1"/>
  <c r="H58" i="1" s="1"/>
  <c r="F48" i="1"/>
  <c r="H48" i="1" s="1"/>
  <c r="F36" i="1"/>
  <c r="H36" i="1" s="1"/>
  <c r="F24" i="1"/>
  <c r="H24" i="1" s="1"/>
  <c r="F14" i="1"/>
  <c r="H14" i="1" s="1"/>
  <c r="J14" i="1" s="1"/>
</calcChain>
</file>

<file path=xl/sharedStrings.xml><?xml version="1.0" encoding="utf-8"?>
<sst xmlns="http://schemas.openxmlformats.org/spreadsheetml/2006/main" count="332" uniqueCount="218">
  <si>
    <t>paquete individual</t>
  </si>
  <si>
    <t>Combo antojo clasico</t>
  </si>
  <si>
    <t>cacahuate 1</t>
  </si>
  <si>
    <t>cacahuate 2</t>
  </si>
  <si>
    <t>200 gr</t>
  </si>
  <si>
    <t>ajonjoli garap</t>
  </si>
  <si>
    <t>250 gr</t>
  </si>
  <si>
    <t>arandano enchilado</t>
  </si>
  <si>
    <t>cacahuate mix</t>
  </si>
  <si>
    <t>Almendra con chocolate (250g)</t>
  </si>
  <si>
    <t>Arándano con chocolate (250g)</t>
  </si>
  <si>
    <t>Bombón cubierto de chocolate (250 gr)</t>
  </si>
  <si>
    <t>Choco Oreo</t>
  </si>
  <si>
    <t>Mix dulce especial (250 gr)</t>
  </si>
  <si>
    <t>Cacahuate japonés (250 gr)</t>
  </si>
  <si>
    <t>Combo Chocolate Lover</t>
  </si>
  <si>
    <t>Empaque</t>
  </si>
  <si>
    <t>ganancia</t>
  </si>
  <si>
    <t>Combo Enchilado Power</t>
  </si>
  <si>
    <t>Cacahuate con Ajo</t>
  </si>
  <si>
    <t>Cacahuate Adobado</t>
  </si>
  <si>
    <t>Betabel Enchilado</t>
  </si>
  <si>
    <t>Arandano enchilado</t>
  </si>
  <si>
    <t>Semilla enchilada especial</t>
  </si>
  <si>
    <t>almendra enchilada</t>
  </si>
  <si>
    <t>Combo Fit Natural</t>
  </si>
  <si>
    <t>Betabel natural</t>
  </si>
  <si>
    <t>Plátano horneado</t>
  </si>
  <si>
    <t>Mix semillas natural</t>
  </si>
  <si>
    <t>Arándano natural</t>
  </si>
  <si>
    <t>Ajonjolí natural</t>
  </si>
  <si>
    <t>Nuez Mixta</t>
  </si>
  <si>
    <t>Combo Energía del Campo</t>
  </si>
  <si>
    <t>Almendra natural</t>
  </si>
  <si>
    <t>Nuez mixta</t>
  </si>
  <si>
    <t>Pistache</t>
  </si>
  <si>
    <t xml:space="preserve"> Combo Familiar Grande</t>
  </si>
  <si>
    <t>Cacahuate Japones</t>
  </si>
  <si>
    <t>Cacahuate Español</t>
  </si>
  <si>
    <t>Cacahuate español con Ajo</t>
  </si>
  <si>
    <t>Cacahuate Garapiñado</t>
  </si>
  <si>
    <t>Almendra chocolate</t>
  </si>
  <si>
    <t>Arándano enchilado</t>
  </si>
  <si>
    <t>Mix botana grande</t>
  </si>
  <si>
    <t>Producto sorpresa del mes</t>
  </si>
  <si>
    <t>500 gr papa</t>
  </si>
  <si>
    <t>500 gr patatina</t>
  </si>
  <si>
    <t>500 gr</t>
  </si>
  <si>
    <t>Cacahuate Queso</t>
  </si>
  <si>
    <t>Cacahuate Esquite</t>
  </si>
  <si>
    <t>Cheto de Queso</t>
  </si>
  <si>
    <t>1 kg</t>
  </si>
  <si>
    <t>Fritura Natural</t>
  </si>
  <si>
    <t>Ajonjolí garapiñado</t>
  </si>
  <si>
    <t>VERDURAS DESHIDRATADAS</t>
  </si>
  <si>
    <t>SKU 250 GRMS</t>
  </si>
  <si>
    <t>Precio 60 gr</t>
  </si>
  <si>
    <t>PZ</t>
  </si>
  <si>
    <t>Paq</t>
  </si>
  <si>
    <t>Kg</t>
  </si>
  <si>
    <t>PRECIO SUGERIDO</t>
  </si>
  <si>
    <t>BETABEL ENCHILADO</t>
  </si>
  <si>
    <t>07503018231631</t>
  </si>
  <si>
    <t>BETABEL NATURAL</t>
  </si>
  <si>
    <t>07503018231648</t>
  </si>
  <si>
    <t>CAMOTE ENCHILADO</t>
  </si>
  <si>
    <t>07503018231617</t>
  </si>
  <si>
    <t>Inviertes</t>
  </si>
  <si>
    <t>CAMOTE NATURAL</t>
  </si>
  <si>
    <t>07503018231624</t>
  </si>
  <si>
    <t>JICAMA ENCHILADA</t>
  </si>
  <si>
    <t>07503018231594</t>
  </si>
  <si>
    <t>JICAMA LIMON Y SAL</t>
  </si>
  <si>
    <t>Cobras</t>
  </si>
  <si>
    <t>JICAMA NATURAL</t>
  </si>
  <si>
    <t>07503018231600</t>
  </si>
  <si>
    <t>MALANGA ENCHILADA</t>
  </si>
  <si>
    <t>07503018231556</t>
  </si>
  <si>
    <t>MALANGA NATURAL</t>
  </si>
  <si>
    <t>07503018231563</t>
  </si>
  <si>
    <t>Utilidad</t>
  </si>
  <si>
    <t>PEPINO ENCHILADO</t>
  </si>
  <si>
    <t>PEPINO LIMON Y SAL</t>
  </si>
  <si>
    <t>PEPINO NATURAL</t>
  </si>
  <si>
    <t>ZANAHORIA ENCHILADA</t>
  </si>
  <si>
    <t>07503018231570</t>
  </si>
  <si>
    <t>ZANAHORIA NATURAL</t>
  </si>
  <si>
    <t>07503018231587</t>
  </si>
  <si>
    <t>NUECES</t>
  </si>
  <si>
    <t>ALMENDRA ENCHILADA</t>
  </si>
  <si>
    <t>ALMENDRA ENTERA</t>
  </si>
  <si>
    <t>07503018231662</t>
  </si>
  <si>
    <t>ALMENDRA FILETEADA</t>
  </si>
  <si>
    <t>07503018231679</t>
  </si>
  <si>
    <t>NUEZ DE LA INDIA</t>
  </si>
  <si>
    <t>07503018231709</t>
  </si>
  <si>
    <t>NUEZ EN MITADES</t>
  </si>
  <si>
    <t>07503018231716</t>
  </si>
  <si>
    <t>NUEZ EN PEDAZO</t>
  </si>
  <si>
    <t>07503018231723</t>
  </si>
  <si>
    <t>NUEZ GARAPIÑADA</t>
  </si>
  <si>
    <t>07503018231686</t>
  </si>
  <si>
    <t>NUEZ MIXTA (MEZCLA DE NUECES)</t>
  </si>
  <si>
    <t>07503018231730</t>
  </si>
  <si>
    <t>PISTACHE ENCHILADO</t>
  </si>
  <si>
    <t>07503018231754</t>
  </si>
  <si>
    <t>PISTACHE NATURAL</t>
  </si>
  <si>
    <t>07503018231747</t>
  </si>
  <si>
    <t>CACAHUATES</t>
  </si>
  <si>
    <t>CACAHUATE ENCHILADO</t>
  </si>
  <si>
    <t>07503018231891</t>
  </si>
  <si>
    <t>CACAHUATE ESPAÑOL</t>
  </si>
  <si>
    <t>07503018231907</t>
  </si>
  <si>
    <t>CACAHUATE ESPAÑOL CON AJO</t>
  </si>
  <si>
    <t>07503018231914</t>
  </si>
  <si>
    <t>CACAHUATE GARAP/AJONJOLI</t>
  </si>
  <si>
    <t>07503018231921</t>
  </si>
  <si>
    <t>CACAHUATE GARAPIÑADO</t>
  </si>
  <si>
    <t>07503018231938</t>
  </si>
  <si>
    <t>CACAHUATE HOLANDES (HOT NUT)</t>
  </si>
  <si>
    <t>CACAHUATE JAPONES</t>
  </si>
  <si>
    <t>CACAHUATE JAPONES ADOBADO</t>
  </si>
  <si>
    <t>07503018231945</t>
  </si>
  <si>
    <t>CACAHUATE JAPONES C/QUESO CHEDAR</t>
  </si>
  <si>
    <t>07503018231952</t>
  </si>
  <si>
    <t>CACAHUATE JAPONES CON CHIPOTLE</t>
  </si>
  <si>
    <t>07503018231969</t>
  </si>
  <si>
    <t>CACAHUATE JAPONES FLAMA AZUL</t>
  </si>
  <si>
    <t>CACAHUATE JAPONES SABOR ESQUITE</t>
  </si>
  <si>
    <t>07503018231976</t>
  </si>
  <si>
    <t>CACAHUATE JAPONES SABOR MANGO</t>
  </si>
  <si>
    <t>07503018231983</t>
  </si>
  <si>
    <t>CACAHUATE SALADO</t>
  </si>
  <si>
    <t>07503018231990</t>
  </si>
  <si>
    <t>MIXES</t>
  </si>
  <si>
    <t>CACAHUATE MIX (MEZCLA DE CACAHUATES)</t>
  </si>
  <si>
    <t>07503050663216</t>
  </si>
  <si>
    <t>CHURRO / AJONJOLI CHILE LIMON</t>
  </si>
  <si>
    <t>07503050663032</t>
  </si>
  <si>
    <t>CHURRO / AJONJOLI NATURAL</t>
  </si>
  <si>
    <t>07503050663025</t>
  </si>
  <si>
    <t>CHURRO / AJONJOLI QUESO</t>
  </si>
  <si>
    <t>CHURRO / AJONJOLI CHIPOTLE</t>
  </si>
  <si>
    <t>CHURRO MIX CHILE (MEZCLA)</t>
  </si>
  <si>
    <t>07503050663001</t>
  </si>
  <si>
    <t>CHURRO MIX NAT (MEZCLA)</t>
  </si>
  <si>
    <t>07503050663018</t>
  </si>
  <si>
    <t>MAIZ POZOLERO CON QUESO CHEDAR</t>
  </si>
  <si>
    <t>07503050663063</t>
  </si>
  <si>
    <t>MAIZ POZOLERO ENCHILADO</t>
  </si>
  <si>
    <t>07503050663056</t>
  </si>
  <si>
    <t>MAIZ POZOLERO SALADITO</t>
  </si>
  <si>
    <t>07503050663070</t>
  </si>
  <si>
    <t>FRUTOS SECOS</t>
  </si>
  <si>
    <t>ARANDANO ENCHILADO</t>
  </si>
  <si>
    <t>07503050663094</t>
  </si>
  <si>
    <t>ARANDANO NATURAL</t>
  </si>
  <si>
    <t>07503050663100</t>
  </si>
  <si>
    <t>CHABACANO DESHIDRATADO</t>
  </si>
  <si>
    <t>07503050663117</t>
  </si>
  <si>
    <t>CIRUELA CON HUESO</t>
  </si>
  <si>
    <t>07503050663124</t>
  </si>
  <si>
    <t>CIRUELA SIN HUESO</t>
  </si>
  <si>
    <t>07503050663230</t>
  </si>
  <si>
    <t>FRUTA MIX DESHIDRATADA (MEZCLA)</t>
  </si>
  <si>
    <t>07503050663148</t>
  </si>
  <si>
    <t>MANGO ENCHILADO</t>
  </si>
  <si>
    <t>07503050663155</t>
  </si>
  <si>
    <t>OREJON DE MANZANA DESHIDRATADA</t>
  </si>
  <si>
    <t>07503050663131</t>
  </si>
  <si>
    <t>PASA NEGRA (JUMBO)</t>
  </si>
  <si>
    <t>07503050663209</t>
  </si>
  <si>
    <t>PIÑA ENCHILADA</t>
  </si>
  <si>
    <t>07503050663179</t>
  </si>
  <si>
    <t>PLATANO ENCHILADO (HORNEADO)</t>
  </si>
  <si>
    <t>07503050663186</t>
  </si>
  <si>
    <t>PLATANO NATURAL (HORNEADO)</t>
  </si>
  <si>
    <t>07503050663193</t>
  </si>
  <si>
    <t>DULCES</t>
  </si>
  <si>
    <t>ALMENDRA CONFITADA</t>
  </si>
  <si>
    <t>07503018231655</t>
  </si>
  <si>
    <t>GOMA FRUTITAS ACIDITA</t>
  </si>
  <si>
    <t>07503050663261</t>
  </si>
  <si>
    <t>GOMA FRUTITAS CHAMOY</t>
  </si>
  <si>
    <t>07503050663278</t>
  </si>
  <si>
    <t>GOMA  GOTA</t>
  </si>
  <si>
    <t>07503050663285</t>
  </si>
  <si>
    <t>MANGOMITA</t>
  </si>
  <si>
    <t>07503050663308</t>
  </si>
  <si>
    <t>MANGOMITA / TAJIN</t>
  </si>
  <si>
    <t>07503050663315</t>
  </si>
  <si>
    <t>TAMACHU (BOLITAS DE TAMARINDO)</t>
  </si>
  <si>
    <t>07503050663346</t>
  </si>
  <si>
    <t>GOMA ARO MANZANA</t>
  </si>
  <si>
    <t>07503050663360</t>
  </si>
  <si>
    <t>GOMA ARO DURAZNO</t>
  </si>
  <si>
    <t>07503050663377</t>
  </si>
  <si>
    <t>MANGUSANO</t>
  </si>
  <si>
    <t>GOMA DE OSITO</t>
  </si>
  <si>
    <t>GOMA DE OSITO ENCHILADO</t>
  </si>
  <si>
    <t>GOMA DE TIBURON</t>
  </si>
  <si>
    <t>GOMA DE LOMBRIZ</t>
  </si>
  <si>
    <t>CHOCOLATES</t>
  </si>
  <si>
    <t>NUEZ CON CHOCOLATE</t>
  </si>
  <si>
    <t>07503018231693</t>
  </si>
  <si>
    <t>BOMBON DE CHOCOLATE</t>
  </si>
  <si>
    <t>07503050663247</t>
  </si>
  <si>
    <t>GALLETA DE CHOCOLATE (SUSPIROS)</t>
  </si>
  <si>
    <t>07503050663254</t>
  </si>
  <si>
    <t xml:space="preserve">GALLETA DE CHOCOLATE BLANCO (SUSPIROS) </t>
  </si>
  <si>
    <t>PASA CON CHOCOLATE</t>
  </si>
  <si>
    <t>07503050663384</t>
  </si>
  <si>
    <t>CEREZA CUBIERTA DE CHOCOLATE</t>
  </si>
  <si>
    <t>CHOCO OREO</t>
  </si>
  <si>
    <t>ALMENDRA CUBIERTA DE CHOCOLATE AMARGO</t>
  </si>
  <si>
    <t>GRANOS DE CAFÉ CUBIERTO DE CHOCOLATE AMARGO</t>
  </si>
  <si>
    <t>ARANDANO CUBIERTO DE CHOCOLATE AMARGO</t>
  </si>
  <si>
    <t>Combo Fiesta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</si>
</sst>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/>
    <xf numFmtId="0" fontId="4" fillId="0" borderId="0" xfId="0" applyFont="1"/>
    <xf numFmtId="0" fontId="1" fillId="0" borderId="0" xfId="0" applyFont="1"/>
    <xf numFmtId="0" fontId="0" fillId="0" borderId="6" xfId="0" applyBorder="1" applyAlignment="1">
      <alignment horizontal="center"/>
    </xf>
    <xf numFmtId="164" fontId="0" fillId="0" borderId="7" xfId="0" applyNumberFormat="1" applyBorder="1"/>
    <xf numFmtId="164" fontId="0" fillId="0" borderId="5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78981-43BF-4AF1-9C44-B554AE0D009C}">
  <dimension ref="C4:J90"/>
  <sheetViews>
    <sheetView tabSelected="1" topLeftCell="A69" workbookViewId="0">
      <selection activeCell="D84" sqref="D84"/>
    </sheetView>
  </sheetViews>
  <sheetFormatPr baseColWidth="10" defaultRowHeight="15" x14ac:dyDescent="0.25"/>
  <cols>
    <col min="4" max="4" width="35.5703125" bestFit="1" customWidth="1"/>
  </cols>
  <sheetData>
    <row r="4" spans="3:10" x14ac:dyDescent="0.25">
      <c r="C4">
        <v>1</v>
      </c>
      <c r="D4" t="s">
        <v>0</v>
      </c>
      <c r="E4">
        <v>250</v>
      </c>
      <c r="H4" t="s">
        <v>17</v>
      </c>
    </row>
    <row r="6" spans="3:10" x14ac:dyDescent="0.25">
      <c r="D6" t="s">
        <v>1</v>
      </c>
    </row>
    <row r="8" spans="3:10" x14ac:dyDescent="0.25">
      <c r="D8" t="s">
        <v>2</v>
      </c>
      <c r="E8" t="s">
        <v>4</v>
      </c>
      <c r="F8">
        <v>11</v>
      </c>
    </row>
    <row r="9" spans="3:10" x14ac:dyDescent="0.25">
      <c r="D9" t="s">
        <v>3</v>
      </c>
      <c r="E9" t="s">
        <v>4</v>
      </c>
      <c r="F9">
        <v>11</v>
      </c>
    </row>
    <row r="10" spans="3:10" x14ac:dyDescent="0.25">
      <c r="D10" t="s">
        <v>5</v>
      </c>
      <c r="E10" t="s">
        <v>4</v>
      </c>
      <c r="F10">
        <v>23</v>
      </c>
    </row>
    <row r="11" spans="3:10" x14ac:dyDescent="0.25">
      <c r="D11" t="s">
        <v>7</v>
      </c>
      <c r="E11" t="s">
        <v>4</v>
      </c>
      <c r="F11">
        <v>23</v>
      </c>
    </row>
    <row r="12" spans="3:10" x14ac:dyDescent="0.25">
      <c r="D12" t="s">
        <v>8</v>
      </c>
      <c r="E12" t="s">
        <v>4</v>
      </c>
      <c r="F12">
        <v>20</v>
      </c>
    </row>
    <row r="13" spans="3:10" x14ac:dyDescent="0.25">
      <c r="D13" t="s">
        <v>16</v>
      </c>
      <c r="F13">
        <v>25</v>
      </c>
    </row>
    <row r="14" spans="3:10" x14ac:dyDescent="0.25">
      <c r="F14">
        <f>SUM(F8:F13)</f>
        <v>113</v>
      </c>
      <c r="H14">
        <f>+E4-F14</f>
        <v>137</v>
      </c>
      <c r="J14">
        <f>+H14*3</f>
        <v>411</v>
      </c>
    </row>
    <row r="16" spans="3:10" x14ac:dyDescent="0.25">
      <c r="C16">
        <v>2</v>
      </c>
      <c r="D16" t="s">
        <v>15</v>
      </c>
      <c r="E16">
        <v>379</v>
      </c>
    </row>
    <row r="18" spans="3:8" x14ac:dyDescent="0.25">
      <c r="D18" t="s">
        <v>9</v>
      </c>
      <c r="F18">
        <v>50</v>
      </c>
    </row>
    <row r="19" spans="3:8" x14ac:dyDescent="0.25">
      <c r="D19" t="s">
        <v>10</v>
      </c>
      <c r="F19">
        <v>50</v>
      </c>
    </row>
    <row r="20" spans="3:8" x14ac:dyDescent="0.25">
      <c r="D20" t="s">
        <v>11</v>
      </c>
      <c r="F20">
        <v>54</v>
      </c>
    </row>
    <row r="21" spans="3:8" x14ac:dyDescent="0.25">
      <c r="D21" t="s">
        <v>13</v>
      </c>
      <c r="F21">
        <v>35</v>
      </c>
      <c r="H21" t="s">
        <v>12</v>
      </c>
    </row>
    <row r="22" spans="3:8" x14ac:dyDescent="0.25">
      <c r="D22" t="s">
        <v>14</v>
      </c>
      <c r="F22">
        <v>14</v>
      </c>
    </row>
    <row r="23" spans="3:8" x14ac:dyDescent="0.25">
      <c r="D23" t="s">
        <v>16</v>
      </c>
      <c r="F23">
        <v>25</v>
      </c>
    </row>
    <row r="24" spans="3:8" x14ac:dyDescent="0.25">
      <c r="F24">
        <f>SUM(F18:F23)</f>
        <v>228</v>
      </c>
      <c r="H24">
        <f>+E16-F24</f>
        <v>151</v>
      </c>
    </row>
    <row r="28" spans="3:8" x14ac:dyDescent="0.25">
      <c r="C28">
        <v>3</v>
      </c>
      <c r="D28" t="s">
        <v>18</v>
      </c>
      <c r="E28">
        <v>299</v>
      </c>
    </row>
    <row r="30" spans="3:8" x14ac:dyDescent="0.25">
      <c r="D30" t="s">
        <v>19</v>
      </c>
      <c r="E30" t="s">
        <v>4</v>
      </c>
      <c r="F30">
        <v>15</v>
      </c>
    </row>
    <row r="31" spans="3:8" x14ac:dyDescent="0.25">
      <c r="D31" t="s">
        <v>20</v>
      </c>
      <c r="E31" t="s">
        <v>4</v>
      </c>
      <c r="F31">
        <v>11</v>
      </c>
    </row>
    <row r="32" spans="3:8" x14ac:dyDescent="0.25">
      <c r="D32" t="s">
        <v>21</v>
      </c>
      <c r="E32" t="s">
        <v>4</v>
      </c>
      <c r="F32">
        <v>46</v>
      </c>
    </row>
    <row r="33" spans="3:8" x14ac:dyDescent="0.25">
      <c r="D33" t="s">
        <v>22</v>
      </c>
      <c r="E33" t="s">
        <v>4</v>
      </c>
      <c r="F33">
        <v>23</v>
      </c>
    </row>
    <row r="34" spans="3:8" x14ac:dyDescent="0.25">
      <c r="D34" t="s">
        <v>23</v>
      </c>
      <c r="E34" t="s">
        <v>4</v>
      </c>
      <c r="F34">
        <v>40</v>
      </c>
      <c r="H34" t="s">
        <v>24</v>
      </c>
    </row>
    <row r="35" spans="3:8" x14ac:dyDescent="0.25">
      <c r="D35" t="s">
        <v>16</v>
      </c>
      <c r="F35">
        <v>25</v>
      </c>
    </row>
    <row r="36" spans="3:8" x14ac:dyDescent="0.25">
      <c r="F36">
        <f>SUM(F30:F35)</f>
        <v>160</v>
      </c>
      <c r="H36">
        <f>+E28-F36</f>
        <v>139</v>
      </c>
    </row>
    <row r="40" spans="3:8" x14ac:dyDescent="0.25">
      <c r="C40">
        <v>4</v>
      </c>
      <c r="D40" t="s">
        <v>25</v>
      </c>
      <c r="E40">
        <v>329</v>
      </c>
    </row>
    <row r="42" spans="3:8" x14ac:dyDescent="0.25">
      <c r="D42" t="s">
        <v>26</v>
      </c>
      <c r="E42" t="s">
        <v>6</v>
      </c>
      <c r="F42">
        <v>46</v>
      </c>
    </row>
    <row r="43" spans="3:8" x14ac:dyDescent="0.25">
      <c r="D43" t="s">
        <v>27</v>
      </c>
      <c r="E43" t="s">
        <v>6</v>
      </c>
      <c r="F43">
        <v>23</v>
      </c>
    </row>
    <row r="44" spans="3:8" x14ac:dyDescent="0.25">
      <c r="D44" t="s">
        <v>28</v>
      </c>
      <c r="E44" t="s">
        <v>6</v>
      </c>
      <c r="F44">
        <v>25</v>
      </c>
      <c r="G44" t="s">
        <v>31</v>
      </c>
    </row>
    <row r="45" spans="3:8" x14ac:dyDescent="0.25">
      <c r="D45" t="s">
        <v>29</v>
      </c>
      <c r="E45" t="s">
        <v>6</v>
      </c>
      <c r="F45">
        <v>28</v>
      </c>
    </row>
    <row r="46" spans="3:8" x14ac:dyDescent="0.25">
      <c r="D46" t="s">
        <v>30</v>
      </c>
      <c r="E46" t="s">
        <v>6</v>
      </c>
      <c r="F46">
        <v>27</v>
      </c>
    </row>
    <row r="47" spans="3:8" x14ac:dyDescent="0.25">
      <c r="D47" t="s">
        <v>16</v>
      </c>
      <c r="F47">
        <v>25</v>
      </c>
    </row>
    <row r="48" spans="3:8" x14ac:dyDescent="0.25">
      <c r="F48">
        <f>SUM(F42:F47)</f>
        <v>174</v>
      </c>
      <c r="H48">
        <f>+E40-F48</f>
        <v>155</v>
      </c>
    </row>
    <row r="50" spans="3:8" x14ac:dyDescent="0.25">
      <c r="C50">
        <v>5</v>
      </c>
      <c r="D50" t="s">
        <v>32</v>
      </c>
      <c r="E50">
        <v>359</v>
      </c>
    </row>
    <row r="52" spans="3:8" x14ac:dyDescent="0.25">
      <c r="D52" t="s">
        <v>33</v>
      </c>
      <c r="E52" t="s">
        <v>6</v>
      </c>
      <c r="F52">
        <v>45</v>
      </c>
    </row>
    <row r="53" spans="3:8" x14ac:dyDescent="0.25">
      <c r="D53" t="s">
        <v>34</v>
      </c>
      <c r="E53" t="s">
        <v>6</v>
      </c>
      <c r="F53">
        <v>25</v>
      </c>
    </row>
    <row r="54" spans="3:8" x14ac:dyDescent="0.25">
      <c r="D54" t="s">
        <v>35</v>
      </c>
      <c r="E54" t="s">
        <v>6</v>
      </c>
      <c r="F54">
        <v>62</v>
      </c>
    </row>
    <row r="55" spans="3:8" x14ac:dyDescent="0.25">
      <c r="D55" t="s">
        <v>29</v>
      </c>
      <c r="E55" t="s">
        <v>6</v>
      </c>
      <c r="F55">
        <v>28</v>
      </c>
    </row>
    <row r="56" spans="3:8" x14ac:dyDescent="0.25">
      <c r="D56" t="s">
        <v>27</v>
      </c>
      <c r="E56" t="s">
        <v>6</v>
      </c>
      <c r="F56">
        <v>23</v>
      </c>
    </row>
    <row r="57" spans="3:8" x14ac:dyDescent="0.25">
      <c r="D57" t="s">
        <v>16</v>
      </c>
      <c r="F57">
        <v>25</v>
      </c>
    </row>
    <row r="58" spans="3:8" x14ac:dyDescent="0.25">
      <c r="F58">
        <f>SUM(F52:F57)</f>
        <v>208</v>
      </c>
      <c r="H58">
        <f>+E50-F58</f>
        <v>151</v>
      </c>
    </row>
    <row r="61" spans="3:8" x14ac:dyDescent="0.25">
      <c r="C61">
        <v>6</v>
      </c>
      <c r="D61" t="s">
        <v>36</v>
      </c>
      <c r="E61">
        <v>649</v>
      </c>
    </row>
    <row r="63" spans="3:8" x14ac:dyDescent="0.25">
      <c r="D63" t="s">
        <v>37</v>
      </c>
      <c r="E63" t="s">
        <v>47</v>
      </c>
      <c r="F63">
        <v>30</v>
      </c>
    </row>
    <row r="64" spans="3:8" x14ac:dyDescent="0.25">
      <c r="D64" t="s">
        <v>38</v>
      </c>
      <c r="E64" t="s">
        <v>47</v>
      </c>
      <c r="F64">
        <v>30</v>
      </c>
    </row>
    <row r="65" spans="3:8" x14ac:dyDescent="0.25">
      <c r="D65" t="s">
        <v>39</v>
      </c>
      <c r="E65" t="s">
        <v>47</v>
      </c>
      <c r="F65">
        <v>30</v>
      </c>
    </row>
    <row r="66" spans="3:8" x14ac:dyDescent="0.25">
      <c r="D66" t="s">
        <v>40</v>
      </c>
      <c r="E66" t="s">
        <v>47</v>
      </c>
      <c r="F66">
        <v>30</v>
      </c>
    </row>
    <row r="67" spans="3:8" x14ac:dyDescent="0.25">
      <c r="D67" t="s">
        <v>41</v>
      </c>
      <c r="E67" t="s">
        <v>47</v>
      </c>
      <c r="F67">
        <v>90</v>
      </c>
    </row>
    <row r="68" spans="3:8" x14ac:dyDescent="0.25">
      <c r="D68" t="s">
        <v>42</v>
      </c>
      <c r="E68" t="s">
        <v>47</v>
      </c>
      <c r="F68">
        <v>60</v>
      </c>
    </row>
    <row r="69" spans="3:8" x14ac:dyDescent="0.25">
      <c r="D69" t="s">
        <v>43</v>
      </c>
      <c r="E69" t="s">
        <v>47</v>
      </c>
      <c r="F69">
        <v>60</v>
      </c>
      <c r="G69" t="s">
        <v>45</v>
      </c>
    </row>
    <row r="70" spans="3:8" x14ac:dyDescent="0.25">
      <c r="D70" t="s">
        <v>44</v>
      </c>
      <c r="E70" t="s">
        <v>47</v>
      </c>
      <c r="F70">
        <v>65</v>
      </c>
      <c r="G70" t="s">
        <v>46</v>
      </c>
    </row>
    <row r="71" spans="3:8" x14ac:dyDescent="0.25">
      <c r="D71" t="s">
        <v>16</v>
      </c>
      <c r="F71">
        <v>30</v>
      </c>
    </row>
    <row r="72" spans="3:8" x14ac:dyDescent="0.25">
      <c r="F72">
        <f>SUM(F63:F71)</f>
        <v>425</v>
      </c>
      <c r="H72">
        <f>+E61-F72</f>
        <v>224</v>
      </c>
    </row>
    <row r="76" spans="3:8" x14ac:dyDescent="0.25">
      <c r="C76">
        <v>7</v>
      </c>
      <c r="D76" t="s">
        <v>217</v>
      </c>
      <c r="E76">
        <v>799</v>
      </c>
    </row>
    <row r="78" spans="3:8" x14ac:dyDescent="0.25">
      <c r="D78" t="s">
        <v>37</v>
      </c>
      <c r="E78" t="s">
        <v>47</v>
      </c>
      <c r="F78">
        <v>30</v>
      </c>
    </row>
    <row r="79" spans="3:8" x14ac:dyDescent="0.25">
      <c r="D79" t="s">
        <v>38</v>
      </c>
      <c r="E79" t="s">
        <v>47</v>
      </c>
      <c r="F79">
        <v>30</v>
      </c>
    </row>
    <row r="80" spans="3:8" x14ac:dyDescent="0.25">
      <c r="D80" t="s">
        <v>39</v>
      </c>
      <c r="E80" t="s">
        <v>47</v>
      </c>
      <c r="F80">
        <v>30</v>
      </c>
    </row>
    <row r="81" spans="4:8" x14ac:dyDescent="0.25">
      <c r="D81" t="s">
        <v>40</v>
      </c>
      <c r="E81" t="s">
        <v>47</v>
      </c>
      <c r="F81">
        <v>30</v>
      </c>
    </row>
    <row r="82" spans="4:8" x14ac:dyDescent="0.25">
      <c r="D82" t="s">
        <v>48</v>
      </c>
      <c r="E82" t="s">
        <v>47</v>
      </c>
      <c r="F82">
        <v>30</v>
      </c>
    </row>
    <row r="83" spans="4:8" x14ac:dyDescent="0.25">
      <c r="D83" t="s">
        <v>49</v>
      </c>
      <c r="E83" t="s">
        <v>47</v>
      </c>
      <c r="F83">
        <v>30</v>
      </c>
    </row>
    <row r="84" spans="4:8" x14ac:dyDescent="0.25">
      <c r="D84" t="s">
        <v>50</v>
      </c>
      <c r="E84" t="s">
        <v>51</v>
      </c>
      <c r="F84">
        <v>50</v>
      </c>
    </row>
    <row r="85" spans="4:8" x14ac:dyDescent="0.25">
      <c r="D85" t="s">
        <v>52</v>
      </c>
      <c r="E85" t="s">
        <v>51</v>
      </c>
      <c r="F85">
        <v>55</v>
      </c>
    </row>
    <row r="86" spans="4:8" x14ac:dyDescent="0.25">
      <c r="D86" t="s">
        <v>41</v>
      </c>
      <c r="E86" t="s">
        <v>47</v>
      </c>
      <c r="F86">
        <v>90</v>
      </c>
    </row>
    <row r="87" spans="4:8" x14ac:dyDescent="0.25">
      <c r="D87" t="s">
        <v>53</v>
      </c>
      <c r="E87" t="s">
        <v>47</v>
      </c>
      <c r="F87">
        <v>54</v>
      </c>
    </row>
    <row r="88" spans="4:8" x14ac:dyDescent="0.25">
      <c r="D88" t="s">
        <v>42</v>
      </c>
      <c r="E88" t="s">
        <v>47</v>
      </c>
      <c r="F88">
        <v>60</v>
      </c>
    </row>
    <row r="89" spans="4:8" x14ac:dyDescent="0.25">
      <c r="D89" t="s">
        <v>16</v>
      </c>
      <c r="F89">
        <v>50</v>
      </c>
    </row>
    <row r="90" spans="4:8" x14ac:dyDescent="0.25">
      <c r="F90">
        <f>SUM(F78:F89)</f>
        <v>539</v>
      </c>
      <c r="H90">
        <f>+E76-F90</f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2CEB-E62F-44EF-AB1C-547F74F3364E}">
  <dimension ref="A3:K112"/>
  <sheetViews>
    <sheetView topLeftCell="A92" workbookViewId="0">
      <selection activeCell="B106" sqref="B106"/>
    </sheetView>
  </sheetViews>
  <sheetFormatPr baseColWidth="10" defaultRowHeight="15" x14ac:dyDescent="0.25"/>
  <cols>
    <col min="1" max="1" width="3" bestFit="1" customWidth="1"/>
    <col min="2" max="2" width="40" bestFit="1" customWidth="1"/>
    <col min="3" max="3" width="15" hidden="1" customWidth="1"/>
    <col min="4" max="4" width="11.42578125" customWidth="1"/>
    <col min="9" max="9" width="17" bestFit="1" customWidth="1"/>
    <col min="11" max="11" width="11.42578125" style="5"/>
  </cols>
  <sheetData>
    <row r="3" spans="1:11" x14ac:dyDescent="0.25">
      <c r="A3" s="1"/>
      <c r="B3" s="2" t="s">
        <v>54</v>
      </c>
      <c r="C3" s="2" t="s">
        <v>55</v>
      </c>
      <c r="D3" s="3" t="s">
        <v>56</v>
      </c>
      <c r="E3" s="3" t="s">
        <v>57</v>
      </c>
      <c r="F3" s="4" t="s">
        <v>58</v>
      </c>
      <c r="G3" s="3" t="s">
        <v>59</v>
      </c>
      <c r="I3" s="3" t="s">
        <v>60</v>
      </c>
      <c r="J3" s="1"/>
    </row>
    <row r="4" spans="1:11" x14ac:dyDescent="0.25">
      <c r="A4" s="1">
        <v>1</v>
      </c>
      <c r="B4" s="1" t="s">
        <v>61</v>
      </c>
      <c r="C4" s="6" t="s">
        <v>62</v>
      </c>
      <c r="D4" s="7">
        <v>20</v>
      </c>
      <c r="E4" s="3">
        <v>5</v>
      </c>
      <c r="F4" s="8">
        <v>100</v>
      </c>
      <c r="G4" s="3">
        <v>0.3</v>
      </c>
      <c r="I4" s="1">
        <v>35</v>
      </c>
      <c r="J4" s="1">
        <v>175</v>
      </c>
    </row>
    <row r="5" spans="1:11" x14ac:dyDescent="0.25">
      <c r="A5" s="1">
        <v>2</v>
      </c>
      <c r="B5" s="1" t="s">
        <v>63</v>
      </c>
      <c r="C5" s="6" t="s">
        <v>64</v>
      </c>
      <c r="D5" s="7">
        <v>20</v>
      </c>
      <c r="E5" s="3">
        <v>5</v>
      </c>
      <c r="F5" s="8">
        <v>100</v>
      </c>
      <c r="G5" s="3">
        <v>0.3</v>
      </c>
      <c r="I5" s="1">
        <v>35</v>
      </c>
      <c r="J5" s="1">
        <v>175</v>
      </c>
    </row>
    <row r="6" spans="1:11" x14ac:dyDescent="0.25">
      <c r="A6" s="1">
        <v>3</v>
      </c>
      <c r="B6" s="1" t="s">
        <v>65</v>
      </c>
      <c r="C6" s="6" t="s">
        <v>66</v>
      </c>
      <c r="D6" s="7">
        <v>20</v>
      </c>
      <c r="E6" s="3">
        <v>5</v>
      </c>
      <c r="F6" s="8">
        <v>100</v>
      </c>
      <c r="G6" s="3">
        <v>0.3</v>
      </c>
      <c r="I6" s="1">
        <v>35</v>
      </c>
      <c r="J6" s="1">
        <v>175</v>
      </c>
      <c r="K6" s="5" t="s">
        <v>67</v>
      </c>
    </row>
    <row r="7" spans="1:11" x14ac:dyDescent="0.25">
      <c r="A7" s="1">
        <v>4</v>
      </c>
      <c r="B7" s="1" t="s">
        <v>68</v>
      </c>
      <c r="C7" s="6" t="s">
        <v>69</v>
      </c>
      <c r="D7" s="7">
        <v>20</v>
      </c>
      <c r="E7" s="3">
        <v>5</v>
      </c>
      <c r="F7" s="8">
        <v>100</v>
      </c>
      <c r="G7" s="3">
        <v>0.3</v>
      </c>
      <c r="I7" s="1">
        <v>35</v>
      </c>
      <c r="J7" s="1">
        <v>175</v>
      </c>
      <c r="K7" s="9">
        <v>1400</v>
      </c>
    </row>
    <row r="8" spans="1:11" x14ac:dyDescent="0.25">
      <c r="A8" s="1">
        <v>5</v>
      </c>
      <c r="B8" s="1" t="s">
        <v>70</v>
      </c>
      <c r="C8" s="6" t="s">
        <v>71</v>
      </c>
      <c r="D8" s="7">
        <v>20</v>
      </c>
      <c r="E8" s="3">
        <v>5</v>
      </c>
      <c r="F8" s="8">
        <v>100</v>
      </c>
      <c r="G8" s="3">
        <v>0.3</v>
      </c>
      <c r="I8" s="1">
        <v>35</v>
      </c>
      <c r="J8" s="1">
        <v>175</v>
      </c>
    </row>
    <row r="9" spans="1:11" x14ac:dyDescent="0.25">
      <c r="A9" s="1">
        <v>6</v>
      </c>
      <c r="B9" s="1" t="s">
        <v>72</v>
      </c>
      <c r="C9" s="6"/>
      <c r="D9" s="7">
        <v>20</v>
      </c>
      <c r="E9" s="3">
        <v>5</v>
      </c>
      <c r="F9" s="8">
        <v>100</v>
      </c>
      <c r="G9" s="3">
        <v>0.3</v>
      </c>
      <c r="I9" s="1">
        <v>35</v>
      </c>
      <c r="J9" s="1">
        <v>175</v>
      </c>
      <c r="K9" s="5" t="s">
        <v>73</v>
      </c>
    </row>
    <row r="10" spans="1:11" x14ac:dyDescent="0.25">
      <c r="A10" s="1">
        <v>7</v>
      </c>
      <c r="B10" s="1" t="s">
        <v>74</v>
      </c>
      <c r="C10" s="6" t="s">
        <v>75</v>
      </c>
      <c r="D10" s="7">
        <v>20</v>
      </c>
      <c r="E10" s="3">
        <v>5</v>
      </c>
      <c r="F10" s="8">
        <v>100</v>
      </c>
      <c r="G10" s="3">
        <v>0.3</v>
      </c>
      <c r="I10" s="1">
        <v>35</v>
      </c>
      <c r="J10" s="1">
        <v>175</v>
      </c>
      <c r="K10" s="10">
        <f>+J18</f>
        <v>2450</v>
      </c>
    </row>
    <row r="11" spans="1:11" x14ac:dyDescent="0.25">
      <c r="A11" s="1">
        <v>8</v>
      </c>
      <c r="B11" s="1" t="s">
        <v>76</v>
      </c>
      <c r="C11" s="6" t="s">
        <v>77</v>
      </c>
      <c r="D11" s="7">
        <v>20</v>
      </c>
      <c r="E11" s="3">
        <v>5</v>
      </c>
      <c r="F11" s="8">
        <v>100</v>
      </c>
      <c r="G11" s="3">
        <v>0.3</v>
      </c>
      <c r="I11" s="1">
        <v>35</v>
      </c>
      <c r="J11" s="1">
        <v>175</v>
      </c>
      <c r="K11" s="9"/>
    </row>
    <row r="12" spans="1:11" x14ac:dyDescent="0.25">
      <c r="A12" s="1">
        <v>9</v>
      </c>
      <c r="B12" s="1" t="s">
        <v>78</v>
      </c>
      <c r="C12" s="6" t="s">
        <v>79</v>
      </c>
      <c r="D12" s="7">
        <v>20</v>
      </c>
      <c r="E12" s="3">
        <v>5</v>
      </c>
      <c r="F12" s="8">
        <v>100</v>
      </c>
      <c r="G12" s="3">
        <v>0.3</v>
      </c>
      <c r="I12" s="1">
        <v>35</v>
      </c>
      <c r="J12" s="1">
        <v>175</v>
      </c>
      <c r="K12" s="5" t="s">
        <v>80</v>
      </c>
    </row>
    <row r="13" spans="1:11" x14ac:dyDescent="0.25">
      <c r="A13" s="1">
        <v>10</v>
      </c>
      <c r="B13" s="1" t="s">
        <v>81</v>
      </c>
      <c r="C13" s="6"/>
      <c r="D13" s="7">
        <v>20</v>
      </c>
      <c r="E13" s="3">
        <v>5</v>
      </c>
      <c r="F13" s="8">
        <v>100</v>
      </c>
      <c r="G13" s="3">
        <v>0.3</v>
      </c>
      <c r="I13" s="1">
        <v>35</v>
      </c>
      <c r="J13" s="1">
        <v>175</v>
      </c>
      <c r="K13" s="9">
        <f>+K10-K7</f>
        <v>1050</v>
      </c>
    </row>
    <row r="14" spans="1:11" x14ac:dyDescent="0.25">
      <c r="A14" s="1">
        <v>11</v>
      </c>
      <c r="B14" s="1" t="s">
        <v>82</v>
      </c>
      <c r="C14" s="6"/>
      <c r="D14" s="7">
        <v>20</v>
      </c>
      <c r="E14" s="3">
        <v>5</v>
      </c>
      <c r="F14" s="8">
        <v>100</v>
      </c>
      <c r="G14" s="3">
        <v>0.3</v>
      </c>
      <c r="I14" s="1">
        <v>35</v>
      </c>
      <c r="J14" s="1">
        <v>175</v>
      </c>
    </row>
    <row r="15" spans="1:11" x14ac:dyDescent="0.25">
      <c r="A15" s="1">
        <v>12</v>
      </c>
      <c r="B15" s="1" t="s">
        <v>83</v>
      </c>
      <c r="C15" s="6"/>
      <c r="D15" s="7">
        <v>20</v>
      </c>
      <c r="E15" s="3">
        <v>5</v>
      </c>
      <c r="F15" s="8">
        <v>100</v>
      </c>
      <c r="G15" s="3">
        <v>0.3</v>
      </c>
      <c r="I15" s="1">
        <v>35</v>
      </c>
      <c r="J15" s="1">
        <v>175</v>
      </c>
    </row>
    <row r="16" spans="1:11" x14ac:dyDescent="0.25">
      <c r="A16" s="1">
        <v>13</v>
      </c>
      <c r="B16" s="1" t="s">
        <v>84</v>
      </c>
      <c r="C16" s="6" t="s">
        <v>85</v>
      </c>
      <c r="D16" s="7">
        <v>20</v>
      </c>
      <c r="E16" s="3">
        <v>5</v>
      </c>
      <c r="F16" s="8">
        <v>100</v>
      </c>
      <c r="G16" s="3">
        <v>0.3</v>
      </c>
      <c r="I16" s="1">
        <v>35</v>
      </c>
      <c r="J16" s="1">
        <v>175</v>
      </c>
    </row>
    <row r="17" spans="1:11" ht="15.75" thickBot="1" x14ac:dyDescent="0.3">
      <c r="A17" s="1">
        <v>14</v>
      </c>
      <c r="B17" s="1" t="s">
        <v>86</v>
      </c>
      <c r="C17" s="6" t="s">
        <v>87</v>
      </c>
      <c r="D17" s="7">
        <v>20</v>
      </c>
      <c r="E17" s="11">
        <v>5</v>
      </c>
      <c r="F17" s="8">
        <v>100</v>
      </c>
      <c r="G17" s="3">
        <v>0.3</v>
      </c>
      <c r="I17" s="12">
        <v>35</v>
      </c>
      <c r="J17" s="12">
        <v>175</v>
      </c>
    </row>
    <row r="18" spans="1:11" ht="15.75" thickBot="1" x14ac:dyDescent="0.3">
      <c r="E18" s="13">
        <v>70</v>
      </c>
      <c r="F18" s="14">
        <v>1400</v>
      </c>
      <c r="G18" s="15">
        <v>4.1999999999999993</v>
      </c>
      <c r="I18" s="16"/>
      <c r="J18" s="17">
        <f>SUM(J4:J17)</f>
        <v>2450</v>
      </c>
    </row>
    <row r="21" spans="1:11" x14ac:dyDescent="0.25">
      <c r="A21" s="1"/>
      <c r="B21" s="2" t="s">
        <v>88</v>
      </c>
      <c r="C21" s="2" t="s">
        <v>55</v>
      </c>
      <c r="D21" s="3" t="s">
        <v>56</v>
      </c>
      <c r="E21" s="3" t="s">
        <v>57</v>
      </c>
      <c r="F21" s="4" t="s">
        <v>58</v>
      </c>
      <c r="G21" s="3" t="s">
        <v>59</v>
      </c>
      <c r="I21" s="3" t="s">
        <v>60</v>
      </c>
      <c r="J21" s="1"/>
    </row>
    <row r="22" spans="1:11" x14ac:dyDescent="0.25">
      <c r="A22" s="18">
        <v>1</v>
      </c>
      <c r="B22" s="1" t="s">
        <v>89</v>
      </c>
      <c r="C22" s="19"/>
      <c r="D22" s="7">
        <v>20</v>
      </c>
      <c r="E22" s="3">
        <v>5</v>
      </c>
      <c r="F22" s="8">
        <v>100</v>
      </c>
      <c r="G22" s="3">
        <v>0.3</v>
      </c>
      <c r="I22" s="1">
        <v>38</v>
      </c>
      <c r="J22" s="1">
        <v>190</v>
      </c>
    </row>
    <row r="23" spans="1:11" x14ac:dyDescent="0.25">
      <c r="A23" s="18">
        <v>2</v>
      </c>
      <c r="B23" s="1" t="s">
        <v>90</v>
      </c>
      <c r="C23" s="19" t="s">
        <v>91</v>
      </c>
      <c r="D23" s="7">
        <v>18</v>
      </c>
      <c r="E23" s="3">
        <v>5</v>
      </c>
      <c r="F23" s="8">
        <v>90</v>
      </c>
      <c r="G23" s="3">
        <v>0.3</v>
      </c>
      <c r="I23" s="1">
        <v>30</v>
      </c>
      <c r="J23" s="1">
        <v>150</v>
      </c>
    </row>
    <row r="24" spans="1:11" x14ac:dyDescent="0.25">
      <c r="A24" s="18">
        <v>3</v>
      </c>
      <c r="B24" s="1" t="s">
        <v>92</v>
      </c>
      <c r="C24" s="19" t="s">
        <v>93</v>
      </c>
      <c r="D24" s="7">
        <v>20</v>
      </c>
      <c r="E24" s="3">
        <v>5</v>
      </c>
      <c r="F24" s="8">
        <v>100</v>
      </c>
      <c r="G24" s="3">
        <v>0.3</v>
      </c>
      <c r="I24" s="1">
        <v>38</v>
      </c>
      <c r="J24" s="1">
        <v>190</v>
      </c>
      <c r="K24" s="5" t="s">
        <v>67</v>
      </c>
    </row>
    <row r="25" spans="1:11" x14ac:dyDescent="0.25">
      <c r="A25" s="18">
        <v>4</v>
      </c>
      <c r="B25" s="1" t="s">
        <v>94</v>
      </c>
      <c r="C25" s="19" t="s">
        <v>95</v>
      </c>
      <c r="D25" s="7">
        <v>20</v>
      </c>
      <c r="E25" s="3">
        <v>5</v>
      </c>
      <c r="F25" s="8">
        <v>100</v>
      </c>
      <c r="G25" s="3">
        <v>0.3</v>
      </c>
      <c r="I25" s="1">
        <v>38</v>
      </c>
      <c r="J25" s="1">
        <v>190</v>
      </c>
      <c r="K25" s="9">
        <v>950</v>
      </c>
    </row>
    <row r="26" spans="1:11" x14ac:dyDescent="0.25">
      <c r="A26" s="18">
        <v>5</v>
      </c>
      <c r="B26" s="1" t="s">
        <v>96</v>
      </c>
      <c r="C26" s="19" t="s">
        <v>97</v>
      </c>
      <c r="D26" s="7">
        <v>20</v>
      </c>
      <c r="E26" s="3">
        <v>5</v>
      </c>
      <c r="F26" s="8">
        <v>100</v>
      </c>
      <c r="G26" s="3">
        <v>0.3</v>
      </c>
      <c r="I26" s="1">
        <v>38</v>
      </c>
      <c r="J26" s="1">
        <v>190</v>
      </c>
    </row>
    <row r="27" spans="1:11" x14ac:dyDescent="0.25">
      <c r="A27" s="18">
        <v>6</v>
      </c>
      <c r="B27" s="1" t="s">
        <v>98</v>
      </c>
      <c r="C27" s="19" t="s">
        <v>99</v>
      </c>
      <c r="D27" s="7">
        <v>18</v>
      </c>
      <c r="E27" s="3">
        <v>5</v>
      </c>
      <c r="F27" s="8">
        <v>90</v>
      </c>
      <c r="G27" s="3">
        <v>0.3</v>
      </c>
      <c r="I27" s="1">
        <v>34</v>
      </c>
      <c r="J27" s="1">
        <v>170</v>
      </c>
      <c r="K27" s="5" t="s">
        <v>73</v>
      </c>
    </row>
    <row r="28" spans="1:11" x14ac:dyDescent="0.25">
      <c r="A28" s="18">
        <v>7</v>
      </c>
      <c r="B28" s="1" t="s">
        <v>100</v>
      </c>
      <c r="C28" s="19" t="s">
        <v>101</v>
      </c>
      <c r="D28" s="7">
        <v>15</v>
      </c>
      <c r="E28" s="3">
        <v>5</v>
      </c>
      <c r="F28" s="8">
        <v>75</v>
      </c>
      <c r="G28" s="3">
        <v>0.3</v>
      </c>
      <c r="I28" s="1">
        <v>28</v>
      </c>
      <c r="J28" s="1">
        <v>140</v>
      </c>
      <c r="K28" s="9">
        <v>1760</v>
      </c>
    </row>
    <row r="29" spans="1:11" x14ac:dyDescent="0.25">
      <c r="A29" s="18">
        <v>8</v>
      </c>
      <c r="B29" s="1" t="s">
        <v>102</v>
      </c>
      <c r="C29" s="19" t="s">
        <v>103</v>
      </c>
      <c r="D29" s="7">
        <v>15</v>
      </c>
      <c r="E29" s="3">
        <v>5</v>
      </c>
      <c r="F29" s="8">
        <v>75</v>
      </c>
      <c r="G29" s="3">
        <v>0.3</v>
      </c>
      <c r="I29" s="1">
        <v>28</v>
      </c>
      <c r="J29" s="1">
        <v>140</v>
      </c>
    </row>
    <row r="30" spans="1:11" x14ac:dyDescent="0.25">
      <c r="A30" s="18">
        <v>9</v>
      </c>
      <c r="B30" s="1" t="s">
        <v>104</v>
      </c>
      <c r="C30" s="19" t="s">
        <v>105</v>
      </c>
      <c r="D30" s="7">
        <v>23</v>
      </c>
      <c r="E30" s="3">
        <v>5</v>
      </c>
      <c r="F30" s="8">
        <v>115</v>
      </c>
      <c r="G30" s="3">
        <v>0.3</v>
      </c>
      <c r="I30" s="1">
        <v>40</v>
      </c>
      <c r="J30" s="1">
        <v>200</v>
      </c>
      <c r="K30" s="5" t="s">
        <v>80</v>
      </c>
    </row>
    <row r="31" spans="1:11" ht="15.75" thickBot="1" x14ac:dyDescent="0.3">
      <c r="A31" s="18">
        <v>10</v>
      </c>
      <c r="B31" s="1" t="s">
        <v>106</v>
      </c>
      <c r="C31" s="19" t="s">
        <v>107</v>
      </c>
      <c r="D31" s="7">
        <v>21</v>
      </c>
      <c r="E31" s="3">
        <v>5</v>
      </c>
      <c r="F31" s="8">
        <v>105</v>
      </c>
      <c r="G31" s="3">
        <v>0.3</v>
      </c>
      <c r="I31" s="12">
        <v>40</v>
      </c>
      <c r="J31" s="12">
        <v>200</v>
      </c>
      <c r="K31" s="9">
        <f>+K28-K25</f>
        <v>810</v>
      </c>
    </row>
    <row r="32" spans="1:11" ht="15.75" thickBot="1" x14ac:dyDescent="0.3">
      <c r="A32" s="20"/>
      <c r="C32" s="21"/>
      <c r="E32" s="22">
        <v>50</v>
      </c>
      <c r="F32" s="23">
        <v>950</v>
      </c>
      <c r="G32" s="15">
        <v>2.9999999999999996</v>
      </c>
      <c r="I32" s="16"/>
      <c r="J32" s="24">
        <f>SUM(J22:J31)</f>
        <v>1760</v>
      </c>
    </row>
    <row r="33" spans="1:11" x14ac:dyDescent="0.25">
      <c r="A33" s="20"/>
      <c r="C33" s="21"/>
    </row>
    <row r="34" spans="1:11" x14ac:dyDescent="0.25">
      <c r="B34" s="25"/>
    </row>
    <row r="35" spans="1:11" x14ac:dyDescent="0.25">
      <c r="A35" s="1"/>
      <c r="B35" s="2" t="s">
        <v>108</v>
      </c>
      <c r="C35" s="2" t="s">
        <v>55</v>
      </c>
      <c r="D35" s="3" t="s">
        <v>56</v>
      </c>
      <c r="E35" s="3" t="s">
        <v>57</v>
      </c>
      <c r="F35" s="4" t="s">
        <v>58</v>
      </c>
      <c r="G35" s="3" t="s">
        <v>59</v>
      </c>
      <c r="I35" s="3" t="s">
        <v>60</v>
      </c>
      <c r="J35" s="1"/>
    </row>
    <row r="36" spans="1:11" x14ac:dyDescent="0.25">
      <c r="A36" s="18">
        <v>1</v>
      </c>
      <c r="B36" s="1" t="s">
        <v>109</v>
      </c>
      <c r="C36" s="19" t="s">
        <v>110</v>
      </c>
      <c r="D36" s="7">
        <v>6</v>
      </c>
      <c r="E36" s="3">
        <v>5</v>
      </c>
      <c r="F36" s="8">
        <v>30</v>
      </c>
      <c r="G36" s="3">
        <v>0.3</v>
      </c>
      <c r="I36" s="1">
        <v>12</v>
      </c>
      <c r="J36" s="1">
        <v>60</v>
      </c>
    </row>
    <row r="37" spans="1:11" x14ac:dyDescent="0.25">
      <c r="A37" s="18">
        <v>2</v>
      </c>
      <c r="B37" s="1" t="s">
        <v>111</v>
      </c>
      <c r="C37" s="19" t="s">
        <v>112</v>
      </c>
      <c r="D37" s="7">
        <v>6</v>
      </c>
      <c r="E37" s="3">
        <v>5</v>
      </c>
      <c r="F37" s="8">
        <v>30</v>
      </c>
      <c r="G37" s="3">
        <v>0.3</v>
      </c>
      <c r="I37" s="1">
        <v>12</v>
      </c>
      <c r="J37" s="1">
        <v>60</v>
      </c>
    </row>
    <row r="38" spans="1:11" x14ac:dyDescent="0.25">
      <c r="A38" s="18">
        <v>3</v>
      </c>
      <c r="B38" s="1" t="s">
        <v>113</v>
      </c>
      <c r="C38" s="19" t="s">
        <v>114</v>
      </c>
      <c r="D38" s="7">
        <v>6</v>
      </c>
      <c r="E38" s="3">
        <v>5</v>
      </c>
      <c r="F38" s="8">
        <v>30</v>
      </c>
      <c r="G38" s="3">
        <v>0.3</v>
      </c>
      <c r="I38" s="1">
        <v>12</v>
      </c>
      <c r="J38" s="1">
        <v>60</v>
      </c>
      <c r="K38" s="5" t="s">
        <v>67</v>
      </c>
    </row>
    <row r="39" spans="1:11" x14ac:dyDescent="0.25">
      <c r="A39" s="18">
        <v>4</v>
      </c>
      <c r="B39" s="1" t="s">
        <v>115</v>
      </c>
      <c r="C39" s="19" t="s">
        <v>116</v>
      </c>
      <c r="D39" s="7">
        <v>6</v>
      </c>
      <c r="E39" s="3">
        <v>5</v>
      </c>
      <c r="F39" s="8">
        <v>30</v>
      </c>
      <c r="G39" s="3">
        <v>0.3</v>
      </c>
      <c r="I39" s="1">
        <v>12</v>
      </c>
      <c r="J39" s="1">
        <v>60</v>
      </c>
      <c r="K39" s="9">
        <v>420</v>
      </c>
    </row>
    <row r="40" spans="1:11" x14ac:dyDescent="0.25">
      <c r="A40" s="18">
        <v>5</v>
      </c>
      <c r="B40" s="1" t="s">
        <v>117</v>
      </c>
      <c r="C40" s="19" t="s">
        <v>118</v>
      </c>
      <c r="D40" s="7">
        <v>6</v>
      </c>
      <c r="E40" s="3">
        <v>5</v>
      </c>
      <c r="F40" s="8">
        <v>30</v>
      </c>
      <c r="G40" s="3">
        <v>0.3</v>
      </c>
      <c r="I40" s="1">
        <v>12</v>
      </c>
      <c r="J40" s="1">
        <v>60</v>
      </c>
    </row>
    <row r="41" spans="1:11" x14ac:dyDescent="0.25">
      <c r="A41" s="18">
        <v>6</v>
      </c>
      <c r="B41" s="1" t="s">
        <v>119</v>
      </c>
      <c r="C41" s="19" t="s">
        <v>118</v>
      </c>
      <c r="D41" s="7">
        <v>6</v>
      </c>
      <c r="E41" s="3">
        <v>5</v>
      </c>
      <c r="F41" s="8">
        <v>30</v>
      </c>
      <c r="G41" s="3">
        <v>0.3</v>
      </c>
      <c r="I41" s="1">
        <v>12</v>
      </c>
      <c r="J41" s="1">
        <v>60</v>
      </c>
    </row>
    <row r="42" spans="1:11" x14ac:dyDescent="0.25">
      <c r="A42" s="18">
        <v>7</v>
      </c>
      <c r="B42" s="1" t="s">
        <v>120</v>
      </c>
      <c r="C42" s="19" t="s">
        <v>118</v>
      </c>
      <c r="D42" s="7">
        <v>6</v>
      </c>
      <c r="E42" s="3">
        <v>5</v>
      </c>
      <c r="F42" s="8">
        <v>30</v>
      </c>
      <c r="G42" s="3">
        <v>0.3</v>
      </c>
      <c r="I42" s="1">
        <v>12</v>
      </c>
      <c r="J42" s="1">
        <v>60</v>
      </c>
      <c r="K42" s="5" t="s">
        <v>73</v>
      </c>
    </row>
    <row r="43" spans="1:11" x14ac:dyDescent="0.25">
      <c r="A43" s="18">
        <v>8</v>
      </c>
      <c r="B43" s="1" t="s">
        <v>121</v>
      </c>
      <c r="C43" s="19" t="s">
        <v>122</v>
      </c>
      <c r="D43" s="7">
        <v>6</v>
      </c>
      <c r="E43" s="3">
        <v>5</v>
      </c>
      <c r="F43" s="8">
        <v>30</v>
      </c>
      <c r="G43" s="3">
        <v>0.3</v>
      </c>
      <c r="I43" s="1">
        <v>12</v>
      </c>
      <c r="J43" s="1">
        <v>60</v>
      </c>
      <c r="K43" s="9">
        <f>+J50</f>
        <v>840</v>
      </c>
    </row>
    <row r="44" spans="1:11" x14ac:dyDescent="0.25">
      <c r="A44" s="18">
        <v>9</v>
      </c>
      <c r="B44" s="1" t="s">
        <v>123</v>
      </c>
      <c r="C44" s="19" t="s">
        <v>124</v>
      </c>
      <c r="D44" s="7">
        <v>6</v>
      </c>
      <c r="E44" s="3">
        <v>5</v>
      </c>
      <c r="F44" s="8">
        <v>30</v>
      </c>
      <c r="G44" s="3">
        <v>0.3</v>
      </c>
      <c r="I44" s="1">
        <v>12</v>
      </c>
      <c r="J44" s="1">
        <v>60</v>
      </c>
      <c r="K44" s="9"/>
    </row>
    <row r="45" spans="1:11" x14ac:dyDescent="0.25">
      <c r="A45" s="18">
        <v>10</v>
      </c>
      <c r="B45" s="1" t="s">
        <v>125</v>
      </c>
      <c r="C45" s="19" t="s">
        <v>126</v>
      </c>
      <c r="D45" s="7">
        <v>6</v>
      </c>
      <c r="E45" s="3">
        <v>5</v>
      </c>
      <c r="F45" s="8">
        <v>30</v>
      </c>
      <c r="G45" s="3">
        <v>0.3</v>
      </c>
      <c r="I45" s="1">
        <v>12</v>
      </c>
      <c r="J45" s="1">
        <v>60</v>
      </c>
    </row>
    <row r="46" spans="1:11" x14ac:dyDescent="0.25">
      <c r="A46" s="18">
        <v>11</v>
      </c>
      <c r="B46" s="1" t="s">
        <v>127</v>
      </c>
      <c r="C46" s="19" t="s">
        <v>126</v>
      </c>
      <c r="D46" s="7">
        <v>6</v>
      </c>
      <c r="E46" s="3">
        <v>5</v>
      </c>
      <c r="F46" s="8">
        <v>30</v>
      </c>
      <c r="G46" s="3">
        <v>0.3</v>
      </c>
      <c r="I46" s="1">
        <v>12</v>
      </c>
      <c r="J46" s="1">
        <v>60</v>
      </c>
      <c r="K46" s="5" t="s">
        <v>80</v>
      </c>
    </row>
    <row r="47" spans="1:11" x14ac:dyDescent="0.25">
      <c r="A47" s="18">
        <v>12</v>
      </c>
      <c r="B47" s="1" t="s">
        <v>128</v>
      </c>
      <c r="C47" s="19" t="s">
        <v>129</v>
      </c>
      <c r="D47" s="7">
        <v>6</v>
      </c>
      <c r="E47" s="3">
        <v>5</v>
      </c>
      <c r="F47" s="8">
        <v>30</v>
      </c>
      <c r="G47" s="3">
        <v>0.3</v>
      </c>
      <c r="I47" s="1">
        <v>12</v>
      </c>
      <c r="J47" s="1">
        <v>60</v>
      </c>
      <c r="K47" s="9">
        <f>+K43-K39</f>
        <v>420</v>
      </c>
    </row>
    <row r="48" spans="1:11" x14ac:dyDescent="0.25">
      <c r="A48" s="18">
        <v>13</v>
      </c>
      <c r="B48" s="1" t="s">
        <v>130</v>
      </c>
      <c r="C48" s="19" t="s">
        <v>131</v>
      </c>
      <c r="D48" s="7">
        <v>6</v>
      </c>
      <c r="E48" s="3">
        <v>5</v>
      </c>
      <c r="F48" s="8">
        <v>30</v>
      </c>
      <c r="G48" s="3">
        <v>0.3</v>
      </c>
      <c r="I48" s="1">
        <v>12</v>
      </c>
      <c r="J48" s="1">
        <v>60</v>
      </c>
    </row>
    <row r="49" spans="1:11" ht="15.75" thickBot="1" x14ac:dyDescent="0.3">
      <c r="A49" s="18">
        <v>14</v>
      </c>
      <c r="B49" s="1" t="s">
        <v>132</v>
      </c>
      <c r="C49" s="19" t="s">
        <v>133</v>
      </c>
      <c r="D49" s="7">
        <v>6</v>
      </c>
      <c r="E49" s="11">
        <v>5</v>
      </c>
      <c r="F49" s="8">
        <v>30</v>
      </c>
      <c r="G49" s="11">
        <v>0.3</v>
      </c>
      <c r="I49" s="12">
        <v>12</v>
      </c>
      <c r="J49" s="12">
        <v>60</v>
      </c>
    </row>
    <row r="50" spans="1:11" ht="15.75" thickBot="1" x14ac:dyDescent="0.3">
      <c r="A50" s="26"/>
      <c r="B50" s="26"/>
      <c r="C50" s="26"/>
      <c r="D50" s="26"/>
      <c r="E50" s="27">
        <v>70</v>
      </c>
      <c r="F50" s="23">
        <v>420</v>
      </c>
      <c r="G50" s="15">
        <v>4.1999999999999993</v>
      </c>
      <c r="I50" s="16"/>
      <c r="J50" s="24">
        <f>SUM(J36:J49)</f>
        <v>840</v>
      </c>
    </row>
    <row r="53" spans="1:11" x14ac:dyDescent="0.25">
      <c r="A53" s="1"/>
      <c r="B53" s="2" t="s">
        <v>134</v>
      </c>
      <c r="C53" s="2" t="s">
        <v>55</v>
      </c>
      <c r="D53" s="3" t="s">
        <v>56</v>
      </c>
      <c r="E53" s="3" t="s">
        <v>57</v>
      </c>
      <c r="F53" s="4" t="s">
        <v>58</v>
      </c>
      <c r="G53" s="3" t="s">
        <v>59</v>
      </c>
      <c r="I53" s="3" t="s">
        <v>60</v>
      </c>
      <c r="J53" s="1"/>
    </row>
    <row r="54" spans="1:11" x14ac:dyDescent="0.25">
      <c r="A54" s="18">
        <v>1</v>
      </c>
      <c r="B54" s="1" t="s">
        <v>135</v>
      </c>
      <c r="C54" s="19" t="s">
        <v>136</v>
      </c>
      <c r="D54" s="7">
        <v>9</v>
      </c>
      <c r="E54" s="3">
        <v>5</v>
      </c>
      <c r="F54" s="8">
        <v>45</v>
      </c>
      <c r="G54" s="3">
        <v>0.3</v>
      </c>
      <c r="I54" s="1">
        <v>18</v>
      </c>
      <c r="J54" s="1">
        <v>90</v>
      </c>
    </row>
    <row r="55" spans="1:11" x14ac:dyDescent="0.25">
      <c r="A55" s="18">
        <v>2</v>
      </c>
      <c r="B55" s="1" t="s">
        <v>137</v>
      </c>
      <c r="C55" s="19" t="s">
        <v>138</v>
      </c>
      <c r="D55" s="7">
        <v>8</v>
      </c>
      <c r="E55" s="3">
        <v>5</v>
      </c>
      <c r="F55" s="8">
        <v>40</v>
      </c>
      <c r="G55" s="3">
        <v>0.3</v>
      </c>
      <c r="I55" s="1">
        <v>16</v>
      </c>
      <c r="J55" s="1">
        <v>80</v>
      </c>
      <c r="K55" s="5" t="s">
        <v>67</v>
      </c>
    </row>
    <row r="56" spans="1:11" x14ac:dyDescent="0.25">
      <c r="A56" s="18">
        <v>3</v>
      </c>
      <c r="B56" s="1" t="s">
        <v>139</v>
      </c>
      <c r="C56" s="19" t="s">
        <v>140</v>
      </c>
      <c r="D56" s="7">
        <v>8</v>
      </c>
      <c r="E56" s="3">
        <v>5</v>
      </c>
      <c r="F56" s="8">
        <v>40</v>
      </c>
      <c r="G56" s="3">
        <v>0.3</v>
      </c>
      <c r="I56" s="1">
        <v>16</v>
      </c>
      <c r="J56" s="1">
        <v>80</v>
      </c>
      <c r="K56" s="9">
        <v>465</v>
      </c>
    </row>
    <row r="57" spans="1:11" x14ac:dyDescent="0.25">
      <c r="A57" s="18">
        <v>4</v>
      </c>
      <c r="B57" s="1" t="s">
        <v>141</v>
      </c>
      <c r="C57" s="19" t="s">
        <v>140</v>
      </c>
      <c r="D57" s="7">
        <v>8</v>
      </c>
      <c r="E57" s="3">
        <v>5</v>
      </c>
      <c r="F57" s="8">
        <v>40</v>
      </c>
      <c r="G57" s="3">
        <v>0.3</v>
      </c>
      <c r="I57" s="1">
        <v>16</v>
      </c>
      <c r="J57" s="1">
        <v>80</v>
      </c>
      <c r="K57" s="9"/>
    </row>
    <row r="58" spans="1:11" x14ac:dyDescent="0.25">
      <c r="A58" s="18">
        <v>5</v>
      </c>
      <c r="B58" s="1" t="s">
        <v>142</v>
      </c>
      <c r="C58" s="19" t="s">
        <v>140</v>
      </c>
      <c r="D58" s="7">
        <v>8</v>
      </c>
      <c r="E58" s="3">
        <v>5</v>
      </c>
      <c r="F58" s="8">
        <v>40</v>
      </c>
      <c r="G58" s="3">
        <v>0.3</v>
      </c>
      <c r="I58" s="1">
        <v>16</v>
      </c>
      <c r="J58" s="1">
        <v>80</v>
      </c>
      <c r="K58" s="5" t="s">
        <v>73</v>
      </c>
    </row>
    <row r="59" spans="1:11" x14ac:dyDescent="0.25">
      <c r="A59" s="18">
        <v>6</v>
      </c>
      <c r="B59" s="1" t="s">
        <v>143</v>
      </c>
      <c r="C59" s="19" t="s">
        <v>144</v>
      </c>
      <c r="D59" s="7">
        <v>11</v>
      </c>
      <c r="E59" s="3">
        <v>5</v>
      </c>
      <c r="F59" s="8">
        <v>55</v>
      </c>
      <c r="G59" s="3">
        <v>0.3</v>
      </c>
      <c r="I59" s="1">
        <v>22</v>
      </c>
      <c r="J59" s="1">
        <v>110</v>
      </c>
      <c r="K59" s="9">
        <v>990</v>
      </c>
    </row>
    <row r="60" spans="1:11" x14ac:dyDescent="0.25">
      <c r="A60" s="18">
        <v>7</v>
      </c>
      <c r="B60" s="1" t="s">
        <v>145</v>
      </c>
      <c r="C60" s="19" t="s">
        <v>146</v>
      </c>
      <c r="D60" s="7">
        <v>11</v>
      </c>
      <c r="E60" s="3">
        <v>5</v>
      </c>
      <c r="F60" s="8">
        <v>55</v>
      </c>
      <c r="G60" s="3">
        <v>0.3</v>
      </c>
      <c r="I60" s="1">
        <v>22</v>
      </c>
      <c r="J60" s="1">
        <v>110</v>
      </c>
      <c r="K60" s="9"/>
    </row>
    <row r="61" spans="1:11" x14ac:dyDescent="0.25">
      <c r="A61" s="18">
        <v>8</v>
      </c>
      <c r="B61" s="1" t="s">
        <v>147</v>
      </c>
      <c r="C61" s="19" t="s">
        <v>148</v>
      </c>
      <c r="D61" s="7">
        <v>10</v>
      </c>
      <c r="E61" s="3">
        <v>5</v>
      </c>
      <c r="F61" s="8">
        <v>50</v>
      </c>
      <c r="G61" s="3">
        <v>0.3</v>
      </c>
      <c r="I61" s="1">
        <v>24</v>
      </c>
      <c r="J61" s="1">
        <v>120</v>
      </c>
      <c r="K61" s="5" t="s">
        <v>80</v>
      </c>
    </row>
    <row r="62" spans="1:11" x14ac:dyDescent="0.25">
      <c r="A62" s="18">
        <v>9</v>
      </c>
      <c r="B62" s="1" t="s">
        <v>149</v>
      </c>
      <c r="C62" s="19" t="s">
        <v>150</v>
      </c>
      <c r="D62" s="7">
        <v>10</v>
      </c>
      <c r="E62" s="3">
        <v>5</v>
      </c>
      <c r="F62" s="8">
        <v>50</v>
      </c>
      <c r="G62" s="3">
        <v>0.3</v>
      </c>
      <c r="I62" s="1">
        <v>24</v>
      </c>
      <c r="J62" s="1">
        <v>120</v>
      </c>
      <c r="K62" s="9">
        <f>+K59-K56</f>
        <v>525</v>
      </c>
    </row>
    <row r="63" spans="1:11" ht="15.75" thickBot="1" x14ac:dyDescent="0.3">
      <c r="A63" s="18">
        <v>10</v>
      </c>
      <c r="B63" s="1" t="s">
        <v>151</v>
      </c>
      <c r="C63" s="19" t="s">
        <v>152</v>
      </c>
      <c r="D63" s="7">
        <v>10</v>
      </c>
      <c r="E63" s="11">
        <v>5</v>
      </c>
      <c r="F63" s="8">
        <v>50</v>
      </c>
      <c r="G63" s="11">
        <v>0.3</v>
      </c>
      <c r="I63" s="12">
        <v>24</v>
      </c>
      <c r="J63" s="12">
        <v>120</v>
      </c>
    </row>
    <row r="64" spans="1:11" ht="15.75" thickBot="1" x14ac:dyDescent="0.3">
      <c r="A64" s="20"/>
      <c r="C64" s="21"/>
      <c r="E64" s="22">
        <v>50</v>
      </c>
      <c r="F64" s="23">
        <v>465</v>
      </c>
      <c r="G64" s="15">
        <v>2.9999999999999996</v>
      </c>
      <c r="I64" s="24"/>
      <c r="J64" s="24">
        <f>SUM(J54:J63)</f>
        <v>990</v>
      </c>
    </row>
    <row r="65" spans="1:11" ht="14.25" customHeight="1" x14ac:dyDescent="0.25">
      <c r="A65" s="20"/>
      <c r="C65" s="21"/>
    </row>
    <row r="66" spans="1:11" x14ac:dyDescent="0.25">
      <c r="A66" s="20"/>
      <c r="C66" s="21"/>
    </row>
    <row r="68" spans="1:11" x14ac:dyDescent="0.25">
      <c r="A68" s="1"/>
      <c r="B68" s="2" t="s">
        <v>153</v>
      </c>
      <c r="C68" s="2" t="s">
        <v>55</v>
      </c>
      <c r="D68" s="3" t="s">
        <v>56</v>
      </c>
      <c r="E68" s="3" t="s">
        <v>57</v>
      </c>
      <c r="F68" s="4" t="s">
        <v>58</v>
      </c>
      <c r="G68" s="3" t="s">
        <v>59</v>
      </c>
      <c r="I68" s="3" t="s">
        <v>60</v>
      </c>
      <c r="J68" s="1"/>
    </row>
    <row r="69" spans="1:11" x14ac:dyDescent="0.25">
      <c r="A69" s="18">
        <v>1</v>
      </c>
      <c r="B69" s="1" t="s">
        <v>154</v>
      </c>
      <c r="C69" s="19" t="s">
        <v>155</v>
      </c>
      <c r="D69" s="7">
        <v>11</v>
      </c>
      <c r="E69" s="3">
        <v>5</v>
      </c>
      <c r="F69" s="8">
        <v>55</v>
      </c>
      <c r="G69" s="3">
        <v>0.3</v>
      </c>
      <c r="I69" s="1">
        <v>20</v>
      </c>
      <c r="J69" s="1">
        <f>+E69*I69</f>
        <v>100</v>
      </c>
    </row>
    <row r="70" spans="1:11" x14ac:dyDescent="0.25">
      <c r="A70" s="18">
        <v>2</v>
      </c>
      <c r="B70" s="1" t="s">
        <v>156</v>
      </c>
      <c r="C70" s="19" t="s">
        <v>157</v>
      </c>
      <c r="D70" s="7">
        <v>11</v>
      </c>
      <c r="E70" s="3">
        <v>5</v>
      </c>
      <c r="F70" s="8">
        <v>55</v>
      </c>
      <c r="G70" s="3">
        <v>0.3</v>
      </c>
      <c r="I70" s="1">
        <v>20</v>
      </c>
      <c r="J70" s="1">
        <f t="shared" ref="J70:J80" si="0">+E70*I70</f>
        <v>100</v>
      </c>
    </row>
    <row r="71" spans="1:11" x14ac:dyDescent="0.25">
      <c r="A71" s="18">
        <v>3</v>
      </c>
      <c r="B71" s="1" t="s">
        <v>158</v>
      </c>
      <c r="C71" s="19" t="s">
        <v>159</v>
      </c>
      <c r="D71" s="7">
        <v>19.920000000000002</v>
      </c>
      <c r="E71" s="3">
        <v>5</v>
      </c>
      <c r="F71" s="8">
        <v>99.600000000000009</v>
      </c>
      <c r="G71" s="3">
        <v>0.3</v>
      </c>
      <c r="I71" s="1">
        <v>35</v>
      </c>
      <c r="J71" s="1">
        <f t="shared" si="0"/>
        <v>175</v>
      </c>
      <c r="K71" s="5" t="s">
        <v>67</v>
      </c>
    </row>
    <row r="72" spans="1:11" x14ac:dyDescent="0.25">
      <c r="A72" s="18">
        <v>4</v>
      </c>
      <c r="B72" s="1" t="s">
        <v>160</v>
      </c>
      <c r="C72" s="19" t="s">
        <v>161</v>
      </c>
      <c r="D72" s="7">
        <v>9.84</v>
      </c>
      <c r="E72" s="3">
        <v>5</v>
      </c>
      <c r="F72" s="8">
        <v>49.2</v>
      </c>
      <c r="G72" s="3">
        <v>0.3</v>
      </c>
      <c r="I72" s="1">
        <v>20</v>
      </c>
      <c r="J72" s="1">
        <f t="shared" si="0"/>
        <v>100</v>
      </c>
      <c r="K72" s="10">
        <v>723.00000000000011</v>
      </c>
    </row>
    <row r="73" spans="1:11" x14ac:dyDescent="0.25">
      <c r="A73" s="18">
        <v>5</v>
      </c>
      <c r="B73" s="1" t="s">
        <v>162</v>
      </c>
      <c r="C73" s="19" t="s">
        <v>163</v>
      </c>
      <c r="D73" s="7">
        <v>10.32</v>
      </c>
      <c r="E73" s="3">
        <v>5</v>
      </c>
      <c r="F73" s="8">
        <v>51.6</v>
      </c>
      <c r="G73" s="3">
        <v>0.3</v>
      </c>
      <c r="I73" s="1">
        <v>20</v>
      </c>
      <c r="J73" s="1">
        <f t="shared" si="0"/>
        <v>100</v>
      </c>
    </row>
    <row r="74" spans="1:11" x14ac:dyDescent="0.25">
      <c r="A74" s="18">
        <v>6</v>
      </c>
      <c r="B74" s="1" t="s">
        <v>164</v>
      </c>
      <c r="C74" s="19" t="s">
        <v>165</v>
      </c>
      <c r="D74" s="7">
        <v>11</v>
      </c>
      <c r="E74" s="3">
        <v>5</v>
      </c>
      <c r="F74" s="8">
        <v>55</v>
      </c>
      <c r="G74" s="3">
        <v>0.3</v>
      </c>
      <c r="I74" s="1">
        <v>20</v>
      </c>
      <c r="J74" s="1">
        <f t="shared" si="0"/>
        <v>100</v>
      </c>
      <c r="K74" s="5" t="s">
        <v>73</v>
      </c>
    </row>
    <row r="75" spans="1:11" x14ac:dyDescent="0.25">
      <c r="A75" s="18">
        <v>7</v>
      </c>
      <c r="B75" s="1" t="s">
        <v>166</v>
      </c>
      <c r="C75" s="19" t="s">
        <v>167</v>
      </c>
      <c r="D75" s="7">
        <v>14.399999999999999</v>
      </c>
      <c r="E75" s="3">
        <v>5</v>
      </c>
      <c r="F75" s="8">
        <v>72</v>
      </c>
      <c r="G75" s="3">
        <v>0.3</v>
      </c>
      <c r="I75" s="1">
        <v>28</v>
      </c>
      <c r="J75" s="1">
        <f t="shared" si="0"/>
        <v>140</v>
      </c>
      <c r="K75" s="9">
        <f>+J81</f>
        <v>1395</v>
      </c>
    </row>
    <row r="76" spans="1:11" x14ac:dyDescent="0.25">
      <c r="A76" s="18">
        <v>8</v>
      </c>
      <c r="B76" s="1" t="s">
        <v>168</v>
      </c>
      <c r="C76" s="19" t="s">
        <v>169</v>
      </c>
      <c r="D76" s="7">
        <v>13.200000000000001</v>
      </c>
      <c r="E76" s="3">
        <v>5</v>
      </c>
      <c r="F76" s="8">
        <v>66</v>
      </c>
      <c r="G76" s="3">
        <v>0.3</v>
      </c>
      <c r="I76" s="1">
        <v>25</v>
      </c>
      <c r="J76" s="1">
        <f t="shared" si="0"/>
        <v>125</v>
      </c>
      <c r="K76" s="9"/>
    </row>
    <row r="77" spans="1:11" x14ac:dyDescent="0.25">
      <c r="A77" s="18">
        <v>9</v>
      </c>
      <c r="B77" s="1" t="s">
        <v>170</v>
      </c>
      <c r="C77" s="19" t="s">
        <v>171</v>
      </c>
      <c r="D77" s="7">
        <v>7.1999999999999993</v>
      </c>
      <c r="E77" s="3">
        <v>5</v>
      </c>
      <c r="F77" s="8">
        <v>36</v>
      </c>
      <c r="G77" s="3">
        <v>0.3</v>
      </c>
      <c r="I77" s="1">
        <v>15</v>
      </c>
      <c r="J77" s="1">
        <f t="shared" si="0"/>
        <v>75</v>
      </c>
    </row>
    <row r="78" spans="1:11" x14ac:dyDescent="0.25">
      <c r="A78" s="18">
        <v>10</v>
      </c>
      <c r="B78" s="1" t="s">
        <v>172</v>
      </c>
      <c r="C78" s="19" t="s">
        <v>173</v>
      </c>
      <c r="D78" s="7">
        <v>17.52</v>
      </c>
      <c r="E78" s="3">
        <v>5</v>
      </c>
      <c r="F78" s="8">
        <v>87.6</v>
      </c>
      <c r="G78" s="3">
        <v>0.3</v>
      </c>
      <c r="I78" s="1">
        <v>36</v>
      </c>
      <c r="J78" s="1">
        <f t="shared" si="0"/>
        <v>180</v>
      </c>
      <c r="K78" s="5" t="s">
        <v>80</v>
      </c>
    </row>
    <row r="79" spans="1:11" x14ac:dyDescent="0.25">
      <c r="A79" s="18">
        <v>11</v>
      </c>
      <c r="B79" s="1" t="s">
        <v>174</v>
      </c>
      <c r="C79" s="19" t="s">
        <v>175</v>
      </c>
      <c r="D79" s="7">
        <v>9.6000000000000014</v>
      </c>
      <c r="E79" s="3">
        <v>5</v>
      </c>
      <c r="F79" s="8">
        <v>48.000000000000007</v>
      </c>
      <c r="G79" s="3">
        <v>0.3</v>
      </c>
      <c r="I79" s="1">
        <v>20</v>
      </c>
      <c r="J79" s="1">
        <f t="shared" si="0"/>
        <v>100</v>
      </c>
      <c r="K79" s="10">
        <f>+K75-K72</f>
        <v>671.99999999999989</v>
      </c>
    </row>
    <row r="80" spans="1:11" ht="15.75" thickBot="1" x14ac:dyDescent="0.3">
      <c r="A80" s="18">
        <v>12</v>
      </c>
      <c r="B80" s="1" t="s">
        <v>176</v>
      </c>
      <c r="C80" s="19" t="s">
        <v>177</v>
      </c>
      <c r="D80" s="7">
        <v>9.6000000000000014</v>
      </c>
      <c r="E80" s="11">
        <v>5</v>
      </c>
      <c r="F80" s="8">
        <v>48.000000000000007</v>
      </c>
      <c r="G80" s="11">
        <v>0.3</v>
      </c>
      <c r="I80" s="12">
        <v>20</v>
      </c>
      <c r="J80" s="1">
        <f t="shared" si="0"/>
        <v>100</v>
      </c>
    </row>
    <row r="81" spans="1:11" ht="15.75" thickBot="1" x14ac:dyDescent="0.3">
      <c r="A81" s="20"/>
      <c r="C81" s="21"/>
      <c r="D81" s="10"/>
      <c r="E81" s="22">
        <v>60</v>
      </c>
      <c r="F81" s="23">
        <v>723.00000000000011</v>
      </c>
      <c r="G81" s="15">
        <v>3.5999999999999992</v>
      </c>
      <c r="I81" s="16"/>
      <c r="J81" s="24">
        <f>SUM(J69:J80)</f>
        <v>1395</v>
      </c>
    </row>
    <row r="83" spans="1:11" x14ac:dyDescent="0.25">
      <c r="A83" s="1"/>
      <c r="B83" s="2" t="s">
        <v>178</v>
      </c>
      <c r="C83" s="2" t="s">
        <v>55</v>
      </c>
      <c r="D83" s="3" t="s">
        <v>56</v>
      </c>
      <c r="E83" s="3" t="s">
        <v>57</v>
      </c>
      <c r="F83" s="4" t="s">
        <v>58</v>
      </c>
      <c r="G83" s="3" t="s">
        <v>59</v>
      </c>
      <c r="I83" s="3" t="s">
        <v>60</v>
      </c>
      <c r="J83" s="1"/>
    </row>
    <row r="84" spans="1:11" x14ac:dyDescent="0.25">
      <c r="A84" s="18">
        <v>1</v>
      </c>
      <c r="B84" s="18" t="s">
        <v>179</v>
      </c>
      <c r="C84" s="19" t="s">
        <v>180</v>
      </c>
      <c r="D84" s="7">
        <v>9</v>
      </c>
      <c r="E84" s="3">
        <v>5</v>
      </c>
      <c r="F84" s="8">
        <v>45</v>
      </c>
      <c r="G84" s="3">
        <v>0.3</v>
      </c>
      <c r="I84" s="1">
        <v>20</v>
      </c>
      <c r="J84" s="1">
        <f>+I84*E84</f>
        <v>100</v>
      </c>
    </row>
    <row r="85" spans="1:11" x14ac:dyDescent="0.25">
      <c r="A85" s="18">
        <v>2</v>
      </c>
      <c r="B85" s="1" t="s">
        <v>181</v>
      </c>
      <c r="C85" s="19" t="s">
        <v>182</v>
      </c>
      <c r="D85" s="7">
        <v>8</v>
      </c>
      <c r="E85" s="3">
        <v>5</v>
      </c>
      <c r="F85" s="8">
        <v>40</v>
      </c>
      <c r="G85" s="3">
        <v>0.3</v>
      </c>
      <c r="I85" s="1">
        <v>15</v>
      </c>
      <c r="J85" s="1">
        <f t="shared" ref="J85:J97" si="1">+I85*E85</f>
        <v>75</v>
      </c>
    </row>
    <row r="86" spans="1:11" x14ac:dyDescent="0.25">
      <c r="A86" s="18">
        <v>3</v>
      </c>
      <c r="B86" s="1" t="s">
        <v>183</v>
      </c>
      <c r="C86" s="19" t="s">
        <v>184</v>
      </c>
      <c r="D86" s="7">
        <v>8</v>
      </c>
      <c r="E86" s="3">
        <v>5</v>
      </c>
      <c r="F86" s="8">
        <v>40</v>
      </c>
      <c r="G86" s="3">
        <v>0.3</v>
      </c>
      <c r="I86" s="1">
        <v>15</v>
      </c>
      <c r="J86" s="1">
        <f t="shared" si="1"/>
        <v>75</v>
      </c>
    </row>
    <row r="87" spans="1:11" x14ac:dyDescent="0.25">
      <c r="A87" s="18">
        <v>4</v>
      </c>
      <c r="B87" s="1" t="s">
        <v>185</v>
      </c>
      <c r="C87" s="19" t="s">
        <v>186</v>
      </c>
      <c r="D87" s="7">
        <v>8</v>
      </c>
      <c r="E87" s="3">
        <v>5</v>
      </c>
      <c r="F87" s="8">
        <v>40</v>
      </c>
      <c r="G87" s="3">
        <v>0.3</v>
      </c>
      <c r="I87" s="1">
        <v>15</v>
      </c>
      <c r="J87" s="1">
        <f t="shared" si="1"/>
        <v>75</v>
      </c>
      <c r="K87" s="5" t="s">
        <v>67</v>
      </c>
    </row>
    <row r="88" spans="1:11" x14ac:dyDescent="0.25">
      <c r="A88" s="18">
        <v>5</v>
      </c>
      <c r="B88" s="1" t="s">
        <v>187</v>
      </c>
      <c r="C88" s="19" t="s">
        <v>188</v>
      </c>
      <c r="D88" s="7">
        <v>8</v>
      </c>
      <c r="E88" s="3">
        <v>5</v>
      </c>
      <c r="F88" s="8">
        <v>40</v>
      </c>
      <c r="G88" s="3">
        <v>0.3</v>
      </c>
      <c r="I88" s="1">
        <v>15</v>
      </c>
      <c r="J88" s="1">
        <f t="shared" si="1"/>
        <v>75</v>
      </c>
      <c r="K88" s="9">
        <v>575</v>
      </c>
    </row>
    <row r="89" spans="1:11" x14ac:dyDescent="0.25">
      <c r="A89" s="18">
        <v>6</v>
      </c>
      <c r="B89" s="1" t="s">
        <v>189</v>
      </c>
      <c r="C89" s="19" t="s">
        <v>190</v>
      </c>
      <c r="D89" s="7">
        <v>8</v>
      </c>
      <c r="E89" s="3">
        <v>5</v>
      </c>
      <c r="F89" s="8">
        <v>40</v>
      </c>
      <c r="G89" s="3">
        <v>0.3</v>
      </c>
      <c r="I89" s="1">
        <v>15</v>
      </c>
      <c r="J89" s="1">
        <f t="shared" si="1"/>
        <v>75</v>
      </c>
    </row>
    <row r="90" spans="1:11" x14ac:dyDescent="0.25">
      <c r="A90" s="18">
        <v>7</v>
      </c>
      <c r="B90" s="1" t="s">
        <v>191</v>
      </c>
      <c r="C90" s="19" t="s">
        <v>192</v>
      </c>
      <c r="D90" s="7">
        <v>8</v>
      </c>
      <c r="E90" s="3">
        <v>5</v>
      </c>
      <c r="F90" s="8">
        <v>40</v>
      </c>
      <c r="G90" s="3">
        <v>0.3</v>
      </c>
      <c r="I90" s="1">
        <v>15</v>
      </c>
      <c r="J90" s="1">
        <f t="shared" si="1"/>
        <v>75</v>
      </c>
      <c r="K90" s="5" t="s">
        <v>73</v>
      </c>
    </row>
    <row r="91" spans="1:11" x14ac:dyDescent="0.25">
      <c r="A91" s="18">
        <v>8</v>
      </c>
      <c r="B91" s="1" t="s">
        <v>193</v>
      </c>
      <c r="C91" s="19" t="s">
        <v>194</v>
      </c>
      <c r="D91" s="7">
        <v>8</v>
      </c>
      <c r="E91" s="3">
        <v>5</v>
      </c>
      <c r="F91" s="8">
        <v>40</v>
      </c>
      <c r="G91" s="3">
        <v>0.3</v>
      </c>
      <c r="I91" s="1">
        <v>15</v>
      </c>
      <c r="J91" s="1">
        <f t="shared" si="1"/>
        <v>75</v>
      </c>
      <c r="K91" s="9">
        <f>+J98</f>
        <v>1100</v>
      </c>
    </row>
    <row r="92" spans="1:11" x14ac:dyDescent="0.25">
      <c r="A92" s="18">
        <v>9</v>
      </c>
      <c r="B92" s="1" t="s">
        <v>195</v>
      </c>
      <c r="C92" s="19" t="s">
        <v>196</v>
      </c>
      <c r="D92" s="7">
        <v>8</v>
      </c>
      <c r="E92" s="3">
        <v>5</v>
      </c>
      <c r="F92" s="8">
        <v>40</v>
      </c>
      <c r="G92" s="3">
        <v>0.3</v>
      </c>
      <c r="I92" s="1">
        <v>15</v>
      </c>
      <c r="J92" s="1">
        <f t="shared" si="1"/>
        <v>75</v>
      </c>
    </row>
    <row r="93" spans="1:11" x14ac:dyDescent="0.25">
      <c r="A93" s="18">
        <v>10</v>
      </c>
      <c r="B93" s="1" t="s">
        <v>197</v>
      </c>
      <c r="C93" s="1"/>
      <c r="D93" s="7">
        <v>8</v>
      </c>
      <c r="E93" s="3">
        <v>5</v>
      </c>
      <c r="F93" s="8">
        <v>40</v>
      </c>
      <c r="G93" s="3">
        <v>0.3</v>
      </c>
      <c r="I93" s="1">
        <v>15</v>
      </c>
      <c r="J93" s="1">
        <f t="shared" si="1"/>
        <v>75</v>
      </c>
      <c r="K93" s="5" t="s">
        <v>80</v>
      </c>
    </row>
    <row r="94" spans="1:11" x14ac:dyDescent="0.25">
      <c r="A94" s="18">
        <v>11</v>
      </c>
      <c r="B94" s="1" t="s">
        <v>198</v>
      </c>
      <c r="C94" s="19"/>
      <c r="D94" s="7">
        <v>8</v>
      </c>
      <c r="E94" s="3">
        <v>5</v>
      </c>
      <c r="F94" s="8">
        <v>40</v>
      </c>
      <c r="G94" s="3">
        <v>0.3</v>
      </c>
      <c r="I94" s="1">
        <v>15</v>
      </c>
      <c r="J94" s="1">
        <f t="shared" si="1"/>
        <v>75</v>
      </c>
      <c r="K94" s="9">
        <f>+K91-K88</f>
        <v>525</v>
      </c>
    </row>
    <row r="95" spans="1:11" x14ac:dyDescent="0.25">
      <c r="A95" s="18">
        <v>12</v>
      </c>
      <c r="B95" s="1" t="s">
        <v>199</v>
      </c>
      <c r="C95" s="19"/>
      <c r="D95" s="7">
        <v>8</v>
      </c>
      <c r="E95" s="3">
        <v>5</v>
      </c>
      <c r="F95" s="8">
        <v>40</v>
      </c>
      <c r="G95" s="3">
        <v>0.3</v>
      </c>
      <c r="I95" s="1">
        <v>15</v>
      </c>
      <c r="J95" s="1">
        <f t="shared" si="1"/>
        <v>75</v>
      </c>
    </row>
    <row r="96" spans="1:11" x14ac:dyDescent="0.25">
      <c r="A96" s="18">
        <v>13</v>
      </c>
      <c r="B96" s="1" t="s">
        <v>200</v>
      </c>
      <c r="C96" s="19"/>
      <c r="D96" s="7">
        <v>10</v>
      </c>
      <c r="E96" s="3">
        <v>5</v>
      </c>
      <c r="F96" s="8">
        <v>50</v>
      </c>
      <c r="G96" s="3">
        <v>0.3</v>
      </c>
      <c r="I96" s="1">
        <v>20</v>
      </c>
      <c r="J96" s="1">
        <f t="shared" si="1"/>
        <v>100</v>
      </c>
    </row>
    <row r="97" spans="1:11" ht="15.75" thickBot="1" x14ac:dyDescent="0.3">
      <c r="A97" s="18">
        <v>14</v>
      </c>
      <c r="B97" s="1" t="s">
        <v>201</v>
      </c>
      <c r="C97" s="19"/>
      <c r="D97" s="7">
        <v>8</v>
      </c>
      <c r="E97" s="3">
        <v>5</v>
      </c>
      <c r="F97" s="8">
        <v>40</v>
      </c>
      <c r="G97" s="3">
        <v>0.3</v>
      </c>
      <c r="I97" s="1">
        <v>15</v>
      </c>
      <c r="J97" s="1">
        <f t="shared" si="1"/>
        <v>75</v>
      </c>
    </row>
    <row r="98" spans="1:11" ht="15.75" thickBot="1" x14ac:dyDescent="0.3">
      <c r="E98" s="22">
        <v>70</v>
      </c>
      <c r="F98" s="28">
        <v>575</v>
      </c>
      <c r="G98" s="15">
        <v>4.1999999999999993</v>
      </c>
      <c r="I98" s="29"/>
      <c r="J98" s="30">
        <f>SUM(J84:J97)</f>
        <v>1100</v>
      </c>
    </row>
    <row r="101" spans="1:11" x14ac:dyDescent="0.25">
      <c r="A101" s="1"/>
      <c r="B101" s="2" t="s">
        <v>202</v>
      </c>
      <c r="C101" s="2" t="s">
        <v>55</v>
      </c>
      <c r="D101" s="3" t="s">
        <v>56</v>
      </c>
      <c r="E101" s="3" t="s">
        <v>57</v>
      </c>
      <c r="F101" s="4" t="s">
        <v>58</v>
      </c>
      <c r="G101" s="3" t="s">
        <v>59</v>
      </c>
      <c r="I101" s="3" t="s">
        <v>60</v>
      </c>
      <c r="J101" s="1"/>
    </row>
    <row r="102" spans="1:11" x14ac:dyDescent="0.25">
      <c r="A102" s="18">
        <v>1</v>
      </c>
      <c r="B102" s="1" t="s">
        <v>203</v>
      </c>
      <c r="C102" s="19" t="s">
        <v>204</v>
      </c>
      <c r="D102" s="7">
        <v>25</v>
      </c>
      <c r="E102" s="3">
        <v>5</v>
      </c>
      <c r="F102" s="8">
        <v>125</v>
      </c>
      <c r="G102" s="3">
        <v>0.3</v>
      </c>
      <c r="I102" s="1">
        <v>40</v>
      </c>
      <c r="J102" s="1">
        <f>+I102*E102</f>
        <v>200</v>
      </c>
      <c r="K102" s="5" t="s">
        <v>67</v>
      </c>
    </row>
    <row r="103" spans="1:11" x14ac:dyDescent="0.25">
      <c r="A103" s="18">
        <v>2</v>
      </c>
      <c r="B103" s="1" t="s">
        <v>205</v>
      </c>
      <c r="C103" s="19" t="s">
        <v>206</v>
      </c>
      <c r="D103" s="7">
        <v>20</v>
      </c>
      <c r="E103" s="3">
        <v>5</v>
      </c>
      <c r="F103" s="8">
        <v>100</v>
      </c>
      <c r="G103" s="3">
        <v>0.3</v>
      </c>
      <c r="I103" s="1">
        <v>35</v>
      </c>
      <c r="J103" s="1">
        <f t="shared" ref="J103:J111" si="2">+I103*E103</f>
        <v>175</v>
      </c>
      <c r="K103" s="10">
        <f>+F112</f>
        <v>715</v>
      </c>
    </row>
    <row r="104" spans="1:11" x14ac:dyDescent="0.25">
      <c r="A104" s="18">
        <v>3</v>
      </c>
      <c r="B104" s="1" t="s">
        <v>207</v>
      </c>
      <c r="C104" s="19" t="s">
        <v>208</v>
      </c>
      <c r="D104" s="7">
        <v>10</v>
      </c>
      <c r="E104" s="3">
        <v>5</v>
      </c>
      <c r="F104" s="8">
        <v>50</v>
      </c>
      <c r="G104" s="3">
        <v>0.3</v>
      </c>
      <c r="I104" s="1">
        <v>20</v>
      </c>
      <c r="J104" s="1">
        <f t="shared" si="2"/>
        <v>100</v>
      </c>
    </row>
    <row r="105" spans="1:11" x14ac:dyDescent="0.25">
      <c r="A105" s="18">
        <v>4</v>
      </c>
      <c r="B105" s="1" t="s">
        <v>209</v>
      </c>
      <c r="C105" s="19" t="s">
        <v>208</v>
      </c>
      <c r="D105" s="7">
        <v>12</v>
      </c>
      <c r="E105" s="3">
        <v>5</v>
      </c>
      <c r="F105" s="8">
        <v>60</v>
      </c>
      <c r="G105" s="3">
        <v>0.3</v>
      </c>
      <c r="I105" s="1">
        <v>25</v>
      </c>
      <c r="J105" s="1">
        <f t="shared" si="2"/>
        <v>125</v>
      </c>
      <c r="K105" s="5" t="s">
        <v>73</v>
      </c>
    </row>
    <row r="106" spans="1:11" x14ac:dyDescent="0.25">
      <c r="A106" s="18">
        <v>5</v>
      </c>
      <c r="B106" s="1" t="s">
        <v>210</v>
      </c>
      <c r="C106" s="19" t="s">
        <v>211</v>
      </c>
      <c r="D106" s="7">
        <v>10</v>
      </c>
      <c r="E106" s="3">
        <v>5</v>
      </c>
      <c r="F106" s="8">
        <v>50</v>
      </c>
      <c r="G106" s="3">
        <v>0.3</v>
      </c>
      <c r="I106" s="1">
        <v>20</v>
      </c>
      <c r="J106" s="1">
        <f t="shared" si="2"/>
        <v>100</v>
      </c>
      <c r="K106" s="10">
        <f>+J112</f>
        <v>1325</v>
      </c>
    </row>
    <row r="107" spans="1:11" x14ac:dyDescent="0.25">
      <c r="A107" s="18">
        <v>6</v>
      </c>
      <c r="B107" s="1" t="s">
        <v>212</v>
      </c>
      <c r="C107" s="19" t="s">
        <v>211</v>
      </c>
      <c r="D107" s="7">
        <v>12</v>
      </c>
      <c r="E107" s="3">
        <v>5</v>
      </c>
      <c r="F107" s="8">
        <v>60</v>
      </c>
      <c r="G107" s="3">
        <v>0.3</v>
      </c>
      <c r="I107" s="1">
        <v>25</v>
      </c>
      <c r="J107" s="1">
        <f t="shared" si="2"/>
        <v>125</v>
      </c>
    </row>
    <row r="108" spans="1:11" x14ac:dyDescent="0.25">
      <c r="A108" s="18">
        <v>7</v>
      </c>
      <c r="B108" s="1" t="s">
        <v>213</v>
      </c>
      <c r="C108" s="19" t="s">
        <v>211</v>
      </c>
      <c r="D108" s="7">
        <v>12</v>
      </c>
      <c r="E108" s="3">
        <v>5</v>
      </c>
      <c r="F108" s="8">
        <v>60</v>
      </c>
      <c r="G108" s="3">
        <v>0.3</v>
      </c>
      <c r="I108" s="1">
        <v>25</v>
      </c>
      <c r="J108" s="1">
        <f t="shared" si="2"/>
        <v>125</v>
      </c>
      <c r="K108" s="5" t="s">
        <v>80</v>
      </c>
    </row>
    <row r="109" spans="1:11" x14ac:dyDescent="0.25">
      <c r="A109" s="18">
        <v>8</v>
      </c>
      <c r="B109" s="1" t="s">
        <v>214</v>
      </c>
      <c r="C109" s="19" t="s">
        <v>211</v>
      </c>
      <c r="D109" s="7">
        <v>14</v>
      </c>
      <c r="E109" s="3">
        <v>5</v>
      </c>
      <c r="F109" s="8">
        <v>70</v>
      </c>
      <c r="G109" s="3">
        <v>0.3</v>
      </c>
      <c r="I109" s="1">
        <v>25</v>
      </c>
      <c r="J109" s="1">
        <f t="shared" si="2"/>
        <v>125</v>
      </c>
      <c r="K109" s="10">
        <f>+K106-K103</f>
        <v>610</v>
      </c>
    </row>
    <row r="110" spans="1:11" x14ac:dyDescent="0.25">
      <c r="A110" s="18">
        <v>9</v>
      </c>
      <c r="B110" s="1" t="s">
        <v>215</v>
      </c>
      <c r="C110" s="19" t="s">
        <v>211</v>
      </c>
      <c r="D110" s="7">
        <v>14</v>
      </c>
      <c r="E110" s="3">
        <v>5</v>
      </c>
      <c r="F110" s="8">
        <v>70</v>
      </c>
      <c r="G110" s="3">
        <v>0.3</v>
      </c>
      <c r="I110" s="1">
        <v>25</v>
      </c>
      <c r="J110" s="1">
        <f t="shared" si="2"/>
        <v>125</v>
      </c>
    </row>
    <row r="111" spans="1:11" ht="15.75" thickBot="1" x14ac:dyDescent="0.3">
      <c r="A111" s="18">
        <v>10</v>
      </c>
      <c r="B111" s="1" t="s">
        <v>216</v>
      </c>
      <c r="C111" s="19" t="s">
        <v>211</v>
      </c>
      <c r="D111" s="7">
        <v>14</v>
      </c>
      <c r="E111" s="3">
        <v>5</v>
      </c>
      <c r="F111" s="8">
        <v>70</v>
      </c>
      <c r="G111" s="3">
        <v>0.3</v>
      </c>
      <c r="I111" s="12">
        <v>25</v>
      </c>
      <c r="J111" s="12">
        <f t="shared" si="2"/>
        <v>125</v>
      </c>
    </row>
    <row r="112" spans="1:11" ht="15.75" thickBot="1" x14ac:dyDescent="0.3">
      <c r="E112" s="31">
        <v>50</v>
      </c>
      <c r="F112" s="23">
        <v>715</v>
      </c>
      <c r="G112" s="15">
        <v>2.9999999999999996</v>
      </c>
      <c r="I112" s="24"/>
      <c r="J112" s="24">
        <f>SUM(J102:J111)</f>
        <v>1325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paquetes</vt:lpstr>
      <vt:lpstr>emprendedores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Celaya</dc:creator>
  <cp:lastModifiedBy>Olivia Celaya</cp:lastModifiedBy>
  <dcterms:created xsi:type="dcterms:W3CDTF">2026-02-25T19:16:30Z</dcterms:created>
  <dcterms:modified xsi:type="dcterms:W3CDTF">2026-02-25T19:57:33Z</dcterms:modified>
</cp:coreProperties>
</file>